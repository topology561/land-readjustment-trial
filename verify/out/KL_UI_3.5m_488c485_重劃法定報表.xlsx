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對照清冊" sheetId="1" state="visible" r:id="rId1"/>
    <sheet name="歸戶負擔計算表" sheetId="2" state="visible" r:id="rId2"/>
    <sheet name="公設負擔統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6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4" customWidth="1" min="4" max="4"/>
    <col width="12" customWidth="1" min="5" max="5"/>
    <col width="14" customWidth="1" min="6" max="6"/>
    <col width="30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6" customWidth="1" min="13" max="13"/>
  </cols>
  <sheetData>
    <row r="1">
      <c r="A1" s="1" t="inlineStr">
        <is>
          <t>重劃前後土地分配對照清冊</t>
        </is>
      </c>
    </row>
    <row r="2">
      <c r="A2" s="2" t="inlineStr">
        <is>
          <t>情境：3.5m　｜　階段：trunk A′（Step G＋步驟J 就地改寫後）　｜　面積精度：2dp（N0-18 法定成果慣例）</t>
        </is>
      </c>
    </row>
    <row r="3">
      <c r="A3" s="3" t="inlineStr">
        <is>
          <t>情境</t>
        </is>
      </c>
      <c r="B3" s="3" t="inlineStr">
        <is>
          <t>階段</t>
        </is>
      </c>
      <c r="C3" s="3" t="inlineStr">
        <is>
          <t>原地號</t>
        </is>
      </c>
      <c r="D3" s="3" t="inlineStr">
        <is>
          <t>原面積(㎡)</t>
        </is>
      </c>
      <c r="E3" s="3" t="inlineStr">
        <is>
          <t>所屬街廓</t>
        </is>
      </c>
      <c r="F3" s="3" t="inlineStr">
        <is>
          <t>街廓面積(㎡)</t>
        </is>
      </c>
      <c r="G3" s="3" t="inlineStr">
        <is>
          <t>暫編地號</t>
        </is>
      </c>
      <c r="H3" s="3" t="inlineStr">
        <is>
          <t>應分配G(㎡)</t>
        </is>
      </c>
      <c r="I3" s="3" t="inlineStr">
        <is>
          <t>G_原值(㎡)</t>
        </is>
      </c>
      <c r="J3" s="3" t="inlineStr">
        <is>
          <t>幾何分配(㎡)</t>
        </is>
      </c>
      <c r="K3" s="3" t="inlineStr">
        <is>
          <t>增減(㎡)</t>
        </is>
      </c>
      <c r="L3" s="3" t="inlineStr">
        <is>
          <t>街角地</t>
        </is>
      </c>
      <c r="M3" s="3" t="inlineStr">
        <is>
          <t>寬度判定</t>
        </is>
      </c>
    </row>
    <row r="4">
      <c r="A4" t="inlineStr">
        <is>
          <t>3.5m</t>
        </is>
      </c>
      <c r="B4" t="inlineStr">
        <is>
          <t>trunk A′（Step G＋步驟J 就地改寫後）</t>
        </is>
      </c>
      <c r="C4" t="inlineStr">
        <is>
          <t>628-36</t>
        </is>
      </c>
      <c r="D4" t="n">
        <v>947.97</v>
      </c>
      <c r="E4" t="inlineStr">
        <is>
          <t>R1</t>
        </is>
      </c>
      <c r="F4" t="n">
        <v>2893.55</v>
      </c>
      <c r="G4" t="inlineStr">
        <is>
          <t>628-36(1)</t>
        </is>
      </c>
      <c r="H4" t="n">
        <v>575.73</v>
      </c>
      <c r="I4" t="n">
        <v>575.73</v>
      </c>
      <c r="J4" t="n">
        <v>575.73</v>
      </c>
      <c r="K4" t="n">
        <v>-372.24</v>
      </c>
      <c r="L4" t="inlineStr">
        <is>
          <t>是</t>
        </is>
      </c>
      <c r="M4" t="inlineStr">
        <is>
          <t>不適用（非配地列）</t>
        </is>
      </c>
    </row>
    <row r="5">
      <c r="A5" t="inlineStr">
        <is>
          <t>3.5m</t>
        </is>
      </c>
      <c r="B5" t="inlineStr">
        <is>
          <t>trunk A′（Step G＋步驟J 就地改寫後）</t>
        </is>
      </c>
      <c r="C5" t="inlineStr">
        <is>
          <t>628</t>
        </is>
      </c>
      <c r="D5" t="n">
        <v>382.91</v>
      </c>
      <c r="E5" t="inlineStr">
        <is>
          <t>R1</t>
        </is>
      </c>
      <c r="F5" t="n">
        <v>2893.55</v>
      </c>
      <c r="G5" t="inlineStr">
        <is>
          <t>628(5)</t>
        </is>
      </c>
      <c r="H5" t="n">
        <v>227.73</v>
      </c>
      <c r="I5" t="n">
        <v>227.73</v>
      </c>
      <c r="J5" t="n">
        <v>227.74</v>
      </c>
      <c r="K5" t="n">
        <v>-155.18</v>
      </c>
      <c r="L5" t="inlineStr">
        <is>
          <t>是</t>
        </is>
      </c>
      <c r="M5" t="inlineStr">
        <is>
          <t>不適用（非配地列）</t>
        </is>
      </c>
    </row>
    <row r="6">
      <c r="A6" t="inlineStr">
        <is>
          <t>3.5m</t>
        </is>
      </c>
      <c r="B6" t="inlineStr">
        <is>
          <t>trunk A′（Step G＋步驟J 就地改寫後）</t>
        </is>
      </c>
      <c r="C6" t="inlineStr">
        <is>
          <t>628-34</t>
        </is>
      </c>
      <c r="D6" t="n">
        <v>152.34</v>
      </c>
      <c r="E6" t="inlineStr">
        <is>
          <t>R1</t>
        </is>
      </c>
      <c r="F6" t="n">
        <v>2893.55</v>
      </c>
      <c r="G6" t="inlineStr">
        <is>
          <t>628-34(3)</t>
        </is>
      </c>
      <c r="H6" t="n">
        <v>86</v>
      </c>
      <c r="I6" t="n">
        <v>86</v>
      </c>
      <c r="J6" t="n">
        <v>86</v>
      </c>
      <c r="K6" t="n">
        <v>-66.34</v>
      </c>
      <c r="L6" t="inlineStr">
        <is>
          <t>否</t>
        </is>
      </c>
      <c r="M6" t="inlineStr">
        <is>
          <t>不適用（非配地列）</t>
        </is>
      </c>
    </row>
    <row r="7">
      <c r="A7" t="inlineStr">
        <is>
          <t>3.5m</t>
        </is>
      </c>
      <c r="B7" t="inlineStr">
        <is>
          <t>trunk A′（Step G＋步驟J 就地改寫後）</t>
        </is>
      </c>
      <c r="C7" t="inlineStr">
        <is>
          <t>628-37</t>
        </is>
      </c>
      <c r="D7" t="n">
        <v>350.76</v>
      </c>
      <c r="E7" t="inlineStr">
        <is>
          <t>R1</t>
        </is>
      </c>
      <c r="F7" t="n">
        <v>2893.55</v>
      </c>
      <c r="G7" t="inlineStr">
        <is>
          <t>628-37(1)</t>
        </is>
      </c>
      <c r="H7" t="n">
        <v>216.34</v>
      </c>
      <c r="I7" t="n">
        <v>216.34</v>
      </c>
      <c r="J7" t="n">
        <v>216.34</v>
      </c>
      <c r="K7" t="n">
        <v>-134.42</v>
      </c>
      <c r="L7" t="inlineStr">
        <is>
          <t>否</t>
        </is>
      </c>
      <c r="M7" t="inlineStr">
        <is>
          <t>不適用（非配地列）</t>
        </is>
      </c>
    </row>
    <row r="8">
      <c r="A8" t="inlineStr">
        <is>
          <t>3.5m</t>
        </is>
      </c>
      <c r="B8" t="inlineStr">
        <is>
          <t>trunk A′（Step G＋步驟J 就地改寫後）</t>
        </is>
      </c>
      <c r="C8" t="inlineStr">
        <is>
          <t>628-35</t>
        </is>
      </c>
      <c r="D8" t="n">
        <v>1039</v>
      </c>
      <c r="E8" t="inlineStr">
        <is>
          <t>R1</t>
        </is>
      </c>
      <c r="F8" t="n">
        <v>2893.55</v>
      </c>
      <c r="G8" t="inlineStr">
        <is>
          <t>628-35(2)</t>
        </is>
      </c>
      <c r="H8" t="n">
        <v>612.64</v>
      </c>
      <c r="I8" t="n">
        <v>612.64</v>
      </c>
      <c r="J8" t="n">
        <v>612.64</v>
      </c>
      <c r="K8" t="n">
        <v>-426.36</v>
      </c>
      <c r="L8" t="inlineStr">
        <is>
          <t>否</t>
        </is>
      </c>
      <c r="M8" t="inlineStr">
        <is>
          <t>不適用（非配地列）</t>
        </is>
      </c>
    </row>
    <row r="9">
      <c r="A9" t="inlineStr">
        <is>
          <t>3.5m</t>
        </is>
      </c>
      <c r="B9" t="inlineStr">
        <is>
          <t>trunk A′（Step G＋步驟J 就地改寫後）</t>
        </is>
      </c>
      <c r="C9" t="inlineStr">
        <is>
          <t>628-41</t>
        </is>
      </c>
      <c r="D9" t="n">
        <v>319.3</v>
      </c>
      <c r="E9" t="inlineStr">
        <is>
          <t>R2</t>
        </is>
      </c>
      <c r="F9" t="n">
        <v>4368.6</v>
      </c>
      <c r="G9" t="inlineStr">
        <is>
          <t>628-41(1)</t>
        </is>
      </c>
      <c r="H9" t="n">
        <v>176.6</v>
      </c>
      <c r="I9" t="n">
        <v>176.6</v>
      </c>
      <c r="J9" t="n">
        <v>176.59</v>
      </c>
      <c r="K9" t="n">
        <v>-142.7</v>
      </c>
      <c r="L9" t="inlineStr">
        <is>
          <t>否</t>
        </is>
      </c>
      <c r="M9" t="inlineStr">
        <is>
          <t>不適用（非配地列）</t>
        </is>
      </c>
    </row>
    <row r="10">
      <c r="A10" t="inlineStr">
        <is>
          <t>3.5m</t>
        </is>
      </c>
      <c r="B10" t="inlineStr">
        <is>
          <t>trunk A′（Step G＋步驟J 就地改寫後）</t>
        </is>
      </c>
      <c r="C10" t="inlineStr">
        <is>
          <t>628-27</t>
        </is>
      </c>
      <c r="D10" t="n">
        <v>51.32</v>
      </c>
      <c r="E10" t="inlineStr">
        <is>
          <t>R2</t>
        </is>
      </c>
      <c r="F10" t="n">
        <v>4368.6</v>
      </c>
      <c r="G10" t="inlineStr">
        <is>
          <t>628-27(1)</t>
        </is>
      </c>
      <c r="H10" t="n">
        <v>29.61</v>
      </c>
      <c r="I10" t="n">
        <v>29.61</v>
      </c>
      <c r="J10" t="n">
        <v>29.61</v>
      </c>
      <c r="K10" t="n">
        <v>-21.71</v>
      </c>
      <c r="L10" t="inlineStr">
        <is>
          <t>否</t>
        </is>
      </c>
      <c r="M10" t="inlineStr">
        <is>
          <t>不適用（非配地列）</t>
        </is>
      </c>
    </row>
    <row r="11">
      <c r="A11" t="inlineStr">
        <is>
          <t>3.5m</t>
        </is>
      </c>
      <c r="B11" t="inlineStr">
        <is>
          <t>trunk A′（Step G＋步驟J 就地改寫後）</t>
        </is>
      </c>
      <c r="C11" t="inlineStr">
        <is>
          <t>628-40</t>
        </is>
      </c>
      <c r="D11" t="n">
        <v>513.9299999999999</v>
      </c>
      <c r="E11" t="inlineStr">
        <is>
          <t>R2</t>
        </is>
      </c>
      <c r="F11" t="n">
        <v>4368.6</v>
      </c>
      <c r="G11" t="inlineStr">
        <is>
          <t>628-40(1)+</t>
        </is>
      </c>
      <c r="H11" t="n">
        <v>299.07</v>
      </c>
      <c r="I11" t="n">
        <v>299.07</v>
      </c>
      <c r="J11" t="n">
        <v>299.06</v>
      </c>
      <c r="K11" t="n">
        <v>-214.86</v>
      </c>
      <c r="L11" t="inlineStr">
        <is>
          <t>否</t>
        </is>
      </c>
      <c r="M11" t="inlineStr">
        <is>
          <t>不適用（非配地列）</t>
        </is>
      </c>
    </row>
    <row r="12">
      <c r="A12" t="inlineStr">
        <is>
          <t>3.5m</t>
        </is>
      </c>
      <c r="B12" t="inlineStr">
        <is>
          <t>trunk A′（Step G＋步驟J 就地改寫後）</t>
        </is>
      </c>
      <c r="C12" t="inlineStr">
        <is>
          <t>628-30</t>
        </is>
      </c>
      <c r="D12" t="n">
        <v>150.3</v>
      </c>
      <c r="E12" t="inlineStr">
        <is>
          <t>R2</t>
        </is>
      </c>
      <c r="F12" t="n">
        <v>4368.6</v>
      </c>
      <c r="G12" t="inlineStr">
        <is>
          <t>628-30(2)</t>
        </is>
      </c>
      <c r="H12" t="n">
        <v>89.97</v>
      </c>
      <c r="I12" t="n">
        <v>89.97</v>
      </c>
      <c r="J12" t="n">
        <v>89.97</v>
      </c>
      <c r="K12" t="n">
        <v>-60.33</v>
      </c>
      <c r="L12" t="inlineStr">
        <is>
          <t>否</t>
        </is>
      </c>
      <c r="M12" t="inlineStr">
        <is>
          <t>不適用（非配地列）</t>
        </is>
      </c>
    </row>
    <row r="13">
      <c r="A13" t="inlineStr">
        <is>
          <t>3.5m</t>
        </is>
      </c>
      <c r="B13" t="inlineStr">
        <is>
          <t>trunk A′（Step G＋步驟J 就地改寫後）</t>
        </is>
      </c>
      <c r="C13" t="inlineStr">
        <is>
          <t>628-39</t>
        </is>
      </c>
      <c r="D13" t="n">
        <v>395.15</v>
      </c>
      <c r="E13" t="inlineStr">
        <is>
          <t>R2</t>
        </is>
      </c>
      <c r="F13" t="n">
        <v>4368.6</v>
      </c>
      <c r="G13" t="inlineStr">
        <is>
          <t>628-39(1)</t>
        </is>
      </c>
      <c r="H13" t="n">
        <v>236.54</v>
      </c>
      <c r="I13" t="n">
        <v>236.54</v>
      </c>
      <c r="J13" t="n">
        <v>236.54</v>
      </c>
      <c r="K13" t="n">
        <v>-158.61</v>
      </c>
      <c r="L13" t="inlineStr">
        <is>
          <t>否</t>
        </is>
      </c>
      <c r="M13" t="inlineStr">
        <is>
          <t>不適用（非配地列）</t>
        </is>
      </c>
    </row>
    <row r="14">
      <c r="A14" t="inlineStr">
        <is>
          <t>3.5m</t>
        </is>
      </c>
      <c r="B14" t="inlineStr">
        <is>
          <t>trunk A′（Step G＋步驟J 就地改寫後）</t>
        </is>
      </c>
      <c r="C14" t="inlineStr">
        <is>
          <t>628-31</t>
        </is>
      </c>
      <c r="D14" t="n">
        <v>654.3200000000001</v>
      </c>
      <c r="E14" t="inlineStr">
        <is>
          <t>R2</t>
        </is>
      </c>
      <c r="F14" t="n">
        <v>4368.6</v>
      </c>
      <c r="G14" t="inlineStr">
        <is>
          <t>628-31(2)</t>
        </is>
      </c>
      <c r="H14" t="n">
        <v>391.66</v>
      </c>
      <c r="I14" t="n">
        <v>391.66</v>
      </c>
      <c r="J14" t="n">
        <v>391.65</v>
      </c>
      <c r="K14" t="n">
        <v>-262.66</v>
      </c>
      <c r="L14" t="inlineStr">
        <is>
          <t>否</t>
        </is>
      </c>
      <c r="M14" t="inlineStr">
        <is>
          <t>不適用（非配地列）</t>
        </is>
      </c>
    </row>
    <row r="15">
      <c r="A15" t="inlineStr">
        <is>
          <t>3.5m</t>
        </is>
      </c>
      <c r="B15" t="inlineStr">
        <is>
          <t>trunk A′（Step G＋步驟J 就地改寫後）</t>
        </is>
      </c>
      <c r="C15" t="inlineStr">
        <is>
          <t>628-35</t>
        </is>
      </c>
      <c r="D15" t="n">
        <v>98.54000000000001</v>
      </c>
      <c r="E15" t="inlineStr">
        <is>
          <t>R2</t>
        </is>
      </c>
      <c r="F15" t="n">
        <v>4368.6</v>
      </c>
      <c r="G15" t="inlineStr">
        <is>
          <t>628-35(1)</t>
        </is>
      </c>
      <c r="H15" t="n">
        <v>58.95</v>
      </c>
      <c r="I15" t="n">
        <v>58.95</v>
      </c>
      <c r="J15" t="n">
        <v>58.94</v>
      </c>
      <c r="K15" t="n">
        <v>-39.59</v>
      </c>
      <c r="L15" t="inlineStr">
        <is>
          <t>否</t>
        </is>
      </c>
      <c r="M15" t="inlineStr">
        <is>
          <t>不適用（非配地列）</t>
        </is>
      </c>
    </row>
    <row r="16">
      <c r="A16" t="inlineStr">
        <is>
          <t>3.5m</t>
        </is>
      </c>
      <c r="B16" t="inlineStr">
        <is>
          <t>trunk A′（Step G＋步驟J 就地改寫後）</t>
        </is>
      </c>
      <c r="C16" t="inlineStr">
        <is>
          <t>628-34</t>
        </is>
      </c>
      <c r="D16" t="n">
        <v>722.28</v>
      </c>
      <c r="E16" t="inlineStr">
        <is>
          <t>R2</t>
        </is>
      </c>
      <c r="F16" t="n">
        <v>4368.6</v>
      </c>
      <c r="G16" t="inlineStr">
        <is>
          <t>628-34(1)</t>
        </is>
      </c>
      <c r="H16" t="n">
        <v>432.11</v>
      </c>
      <c r="I16" t="n">
        <v>432.11</v>
      </c>
      <c r="J16" t="n">
        <v>432.1</v>
      </c>
      <c r="K16" t="n">
        <v>-290.17</v>
      </c>
      <c r="L16" t="inlineStr">
        <is>
          <t>否</t>
        </is>
      </c>
      <c r="M16" t="inlineStr">
        <is>
          <t>不適用（非配地列）</t>
        </is>
      </c>
    </row>
    <row r="17">
      <c r="A17" t="inlineStr">
        <is>
          <t>3.5m</t>
        </is>
      </c>
      <c r="B17" t="inlineStr">
        <is>
          <t>trunk A′（Step G＋步驟J 就地改寫後）</t>
        </is>
      </c>
      <c r="C17" t="inlineStr">
        <is>
          <t>628-49</t>
        </is>
      </c>
      <c r="D17" t="n">
        <v>109.39</v>
      </c>
      <c r="E17" t="inlineStr">
        <is>
          <t>R2</t>
        </is>
      </c>
      <c r="F17" t="n">
        <v>4368.6</v>
      </c>
      <c r="G17" t="inlineStr">
        <is>
          <t>628-49(1)</t>
        </is>
      </c>
      <c r="H17" t="n">
        <v>65.45</v>
      </c>
      <c r="I17" t="n">
        <v>65.45</v>
      </c>
      <c r="J17" t="n">
        <v>65.44</v>
      </c>
      <c r="K17" t="n">
        <v>-43.94</v>
      </c>
      <c r="L17" t="inlineStr">
        <is>
          <t>否</t>
        </is>
      </c>
      <c r="M17" t="inlineStr">
        <is>
          <t>不適用（非配地列）</t>
        </is>
      </c>
    </row>
    <row r="18">
      <c r="A18" t="inlineStr">
        <is>
          <t>3.5m</t>
        </is>
      </c>
      <c r="B18" t="inlineStr">
        <is>
          <t>trunk A′（Step G＋步驟J 就地改寫後）</t>
        </is>
      </c>
      <c r="C18" t="inlineStr">
        <is>
          <t>628-50</t>
        </is>
      </c>
      <c r="D18" t="n">
        <v>246</v>
      </c>
      <c r="E18" t="inlineStr">
        <is>
          <t>R2</t>
        </is>
      </c>
      <c r="F18" t="n">
        <v>4368.6</v>
      </c>
      <c r="G18" t="inlineStr">
        <is>
          <t>628-50(1)</t>
        </is>
      </c>
      <c r="H18" t="n">
        <v>147.18</v>
      </c>
      <c r="I18" t="n">
        <v>147.18</v>
      </c>
      <c r="J18" t="n">
        <v>147.18</v>
      </c>
      <c r="K18" t="n">
        <v>-98.81999999999999</v>
      </c>
      <c r="L18" t="inlineStr">
        <is>
          <t>否</t>
        </is>
      </c>
      <c r="M18" t="inlineStr">
        <is>
          <t>不適用（非配地列）</t>
        </is>
      </c>
    </row>
    <row r="19">
      <c r="A19" t="inlineStr">
        <is>
          <t>3.5m</t>
        </is>
      </c>
      <c r="B19" t="inlineStr">
        <is>
          <t>trunk A′（Step G＋步驟J 就地改寫後）</t>
        </is>
      </c>
      <c r="C19" t="inlineStr">
        <is>
          <t>628-51</t>
        </is>
      </c>
      <c r="D19" t="n">
        <v>245</v>
      </c>
      <c r="E19" t="inlineStr">
        <is>
          <t>R2</t>
        </is>
      </c>
      <c r="F19" t="n">
        <v>4368.6</v>
      </c>
      <c r="G19" t="inlineStr">
        <is>
          <t>628-51(1)</t>
        </is>
      </c>
      <c r="H19" t="n">
        <v>146.59</v>
      </c>
      <c r="I19" t="n">
        <v>146.59</v>
      </c>
      <c r="J19" t="n">
        <v>146.59</v>
      </c>
      <c r="K19" t="n">
        <v>-98.41</v>
      </c>
      <c r="L19" t="inlineStr">
        <is>
          <t>否</t>
        </is>
      </c>
      <c r="M19" t="inlineStr">
        <is>
          <t>不適用（非配地列）</t>
        </is>
      </c>
    </row>
    <row r="20">
      <c r="A20" t="inlineStr">
        <is>
          <t>3.5m</t>
        </is>
      </c>
      <c r="B20" t="inlineStr">
        <is>
          <t>trunk A′（Step G＋步驟J 就地改寫後）</t>
        </is>
      </c>
      <c r="C20" t="inlineStr">
        <is>
          <t>628-52</t>
        </is>
      </c>
      <c r="D20" t="n">
        <v>119.66</v>
      </c>
      <c r="E20" t="inlineStr">
        <is>
          <t>R2</t>
        </is>
      </c>
      <c r="F20" t="n">
        <v>4368.6</v>
      </c>
      <c r="G20" t="inlineStr">
        <is>
          <t>628-52(1)</t>
        </is>
      </c>
      <c r="H20" t="n">
        <v>71.59999999999999</v>
      </c>
      <c r="I20" t="n">
        <v>71.59999999999999</v>
      </c>
      <c r="J20" t="n">
        <v>71.59999999999999</v>
      </c>
      <c r="K20" t="n">
        <v>-48.06</v>
      </c>
      <c r="L20" t="inlineStr">
        <is>
          <t>否</t>
        </is>
      </c>
      <c r="M20" t="inlineStr">
        <is>
          <t>不適用（非配地列）</t>
        </is>
      </c>
    </row>
    <row r="21">
      <c r="A21" t="inlineStr">
        <is>
          <t>3.5m</t>
        </is>
      </c>
      <c r="B21" t="inlineStr">
        <is>
          <t>trunk A′（Step G＋步驟J 就地改寫後）</t>
        </is>
      </c>
      <c r="C21" t="inlineStr">
        <is>
          <t>628-32</t>
        </is>
      </c>
      <c r="D21" t="n">
        <v>730.37</v>
      </c>
      <c r="E21" t="inlineStr">
        <is>
          <t>R2</t>
        </is>
      </c>
      <c r="F21" t="n">
        <v>4368.6</v>
      </c>
      <c r="G21" t="inlineStr">
        <is>
          <t>628-32(2)</t>
        </is>
      </c>
      <c r="H21" t="n">
        <v>437.02</v>
      </c>
      <c r="I21" t="n">
        <v>437.02</v>
      </c>
      <c r="J21" t="n">
        <v>437.02</v>
      </c>
      <c r="K21" t="n">
        <v>-293.35</v>
      </c>
      <c r="L21" t="inlineStr">
        <is>
          <t>否</t>
        </is>
      </c>
      <c r="M21" t="inlineStr">
        <is>
          <t>不適用（非配地列）</t>
        </is>
      </c>
    </row>
    <row r="22">
      <c r="A22" t="inlineStr">
        <is>
          <t>3.5m</t>
        </is>
      </c>
      <c r="B22" t="inlineStr">
        <is>
          <t>trunk A′（Step G＋步驟J 就地改寫後）</t>
        </is>
      </c>
      <c r="C22" t="inlineStr">
        <is>
          <t>628</t>
        </is>
      </c>
      <c r="D22" t="n">
        <v>3186.36</v>
      </c>
      <c r="E22" t="inlineStr">
        <is>
          <t>R4</t>
        </is>
      </c>
      <c r="F22" t="n">
        <v>3207.87</v>
      </c>
      <c r="G22" t="inlineStr">
        <is>
          <t>628(1)+</t>
        </is>
      </c>
      <c r="H22" t="n">
        <v>2022.05</v>
      </c>
      <c r="I22" t="n">
        <v>2022.05</v>
      </c>
      <c r="J22" t="n">
        <v>2022.04</v>
      </c>
      <c r="K22" t="n">
        <v>-1164.31</v>
      </c>
      <c r="L22" t="inlineStr">
        <is>
          <t>是</t>
        </is>
      </c>
      <c r="M22" t="inlineStr">
        <is>
          <t>不適用（非配地列）</t>
        </is>
      </c>
    </row>
    <row r="23">
      <c r="A23" t="inlineStr">
        <is>
          <t>3.5m</t>
        </is>
      </c>
      <c r="B23" t="inlineStr">
        <is>
          <t>trunk A′（Step G＋步驟J 就地改寫後）</t>
        </is>
      </c>
      <c r="C23" t="inlineStr">
        <is>
          <t>628</t>
        </is>
      </c>
      <c r="D23" t="n">
        <v>238.9</v>
      </c>
      <c r="E23" t="inlineStr">
        <is>
          <t>R6</t>
        </is>
      </c>
      <c r="F23" t="n">
        <v>3976.3</v>
      </c>
      <c r="G23" t="inlineStr">
        <is>
          <t>628(2)+</t>
        </is>
      </c>
      <c r="H23" t="n">
        <v>153.19</v>
      </c>
      <c r="I23" t="n">
        <v>153.19</v>
      </c>
      <c r="J23" t="n">
        <v>153.18</v>
      </c>
      <c r="K23" t="n">
        <v>-85.70999999999999</v>
      </c>
      <c r="L23" t="inlineStr">
        <is>
          <t>否</t>
        </is>
      </c>
      <c r="M23" t="inlineStr">
        <is>
          <t>不適用（非配地列）</t>
        </is>
      </c>
    </row>
    <row r="24">
      <c r="A24" t="inlineStr">
        <is>
          <t>3.5m</t>
        </is>
      </c>
      <c r="B24" t="inlineStr">
        <is>
          <t>trunk A′（Step G＋步驟J 就地改寫後）</t>
        </is>
      </c>
      <c r="C24" t="inlineStr">
        <is>
          <t>628-4</t>
        </is>
      </c>
      <c r="D24" t="n">
        <v>1154</v>
      </c>
      <c r="E24" t="inlineStr">
        <is>
          <t>R6</t>
        </is>
      </c>
      <c r="F24" t="n">
        <v>3976.3</v>
      </c>
      <c r="G24" t="inlineStr">
        <is>
          <t>628-4(1)</t>
        </is>
      </c>
      <c r="H24" t="n">
        <v>692.09</v>
      </c>
      <c r="I24" t="n">
        <v>692.09</v>
      </c>
      <c r="J24" t="n">
        <v>692.09</v>
      </c>
      <c r="K24" t="n">
        <v>-461.91</v>
      </c>
      <c r="L24" t="inlineStr">
        <is>
          <t>否</t>
        </is>
      </c>
      <c r="M24" t="inlineStr">
        <is>
          <t>不適用（非配地列）</t>
        </is>
      </c>
    </row>
    <row r="25">
      <c r="A25" t="inlineStr">
        <is>
          <t>3.5m</t>
        </is>
      </c>
      <c r="B25" t="inlineStr">
        <is>
          <t>trunk A′（Step G＋步驟J 就地改寫後）</t>
        </is>
      </c>
      <c r="C25" t="inlineStr">
        <is>
          <t>628-23</t>
        </is>
      </c>
      <c r="D25" t="n">
        <v>723.48</v>
      </c>
      <c r="E25" t="inlineStr">
        <is>
          <t>R6</t>
        </is>
      </c>
      <c r="F25" t="n">
        <v>3976.3</v>
      </c>
      <c r="G25" t="inlineStr">
        <is>
          <t>628-23(1)+</t>
        </is>
      </c>
      <c r="H25" t="n">
        <v>433.68</v>
      </c>
      <c r="I25" t="n">
        <v>433.68</v>
      </c>
      <c r="J25" t="n">
        <v>433.68</v>
      </c>
      <c r="K25" t="n">
        <v>-289.8</v>
      </c>
      <c r="L25" t="inlineStr">
        <is>
          <t>否</t>
        </is>
      </c>
      <c r="M25" t="inlineStr">
        <is>
          <t>不適用（非配地列）</t>
        </is>
      </c>
    </row>
    <row r="26">
      <c r="A26" t="inlineStr">
        <is>
          <t>3.5m</t>
        </is>
      </c>
      <c r="B26" t="inlineStr">
        <is>
          <t>trunk A′（Step G＋步驟J 就地改寫後）</t>
        </is>
      </c>
      <c r="C26" t="inlineStr">
        <is>
          <t>628-18</t>
        </is>
      </c>
      <c r="D26" t="n">
        <v>551.09</v>
      </c>
      <c r="E26" t="inlineStr">
        <is>
          <t>R6</t>
        </is>
      </c>
      <c r="F26" t="n">
        <v>3976.3</v>
      </c>
      <c r="G26" t="inlineStr">
        <is>
          <t>628-18(1)</t>
        </is>
      </c>
      <c r="H26" t="n">
        <v>307.78</v>
      </c>
      <c r="I26" t="n">
        <v>307.78</v>
      </c>
      <c r="J26" t="n">
        <v>307.79</v>
      </c>
      <c r="K26" t="n">
        <v>-243.31</v>
      </c>
      <c r="L26" t="inlineStr">
        <is>
          <t>是</t>
        </is>
      </c>
      <c r="M26" t="inlineStr">
        <is>
          <t>不適用（非配地列）</t>
        </is>
      </c>
    </row>
    <row r="27">
      <c r="A27" t="inlineStr">
        <is>
          <t>3.5m</t>
        </is>
      </c>
      <c r="B27" t="inlineStr">
        <is>
          <t>trunk A′（Step G＋步驟J 就地改寫後）</t>
        </is>
      </c>
      <c r="C27" t="inlineStr">
        <is>
          <t>628-53</t>
        </is>
      </c>
      <c r="D27" t="n">
        <v>0.44</v>
      </c>
      <c r="E27" t="inlineStr">
        <is>
          <t>R6</t>
        </is>
      </c>
      <c r="F27" t="n">
        <v>3976.3</v>
      </c>
      <c r="G27" t="inlineStr">
        <is>
          <t>628-53(1)</t>
        </is>
      </c>
      <c r="H27" t="n">
        <v>0.26</v>
      </c>
      <c r="I27" t="n">
        <v>0.26</v>
      </c>
      <c r="J27" t="n">
        <v>0.26</v>
      </c>
      <c r="K27" t="n">
        <v>-0.18</v>
      </c>
      <c r="L27" t="inlineStr">
        <is>
          <t>否</t>
        </is>
      </c>
      <c r="M27" t="inlineStr">
        <is>
          <t>不適用（非配地列）</t>
        </is>
      </c>
    </row>
    <row r="28">
      <c r="A28" t="inlineStr">
        <is>
          <t>3.5m</t>
        </is>
      </c>
      <c r="B28" t="inlineStr">
        <is>
          <t>trunk A′（Step G＋步驟J 就地改寫後）</t>
        </is>
      </c>
      <c r="C28" t="inlineStr">
        <is>
          <t>628-38</t>
        </is>
      </c>
      <c r="D28" t="n">
        <v>205.6</v>
      </c>
      <c r="E28" t="inlineStr">
        <is>
          <t>R6</t>
        </is>
      </c>
      <c r="F28" t="n">
        <v>3976.3</v>
      </c>
      <c r="G28" t="inlineStr">
        <is>
          <t>628-38(1)</t>
        </is>
      </c>
      <c r="H28" t="n">
        <v>117.73</v>
      </c>
      <c r="I28" t="n">
        <v>117.73</v>
      </c>
      <c r="J28" t="n">
        <v>117.73</v>
      </c>
      <c r="K28" t="n">
        <v>-87.87</v>
      </c>
      <c r="L28" t="inlineStr">
        <is>
          <t>否</t>
        </is>
      </c>
      <c r="M28" t="inlineStr">
        <is>
          <t>不適用（非配地列）</t>
        </is>
      </c>
    </row>
    <row r="29">
      <c r="A29" t="inlineStr">
        <is>
          <t>3.5m</t>
        </is>
      </c>
      <c r="B29" t="inlineStr">
        <is>
          <t>trunk A′（Step G＋步驟J 就地改寫後）</t>
        </is>
      </c>
      <c r="C29" t="inlineStr">
        <is>
          <t>628-7</t>
        </is>
      </c>
      <c r="D29" t="n">
        <v>522.97</v>
      </c>
      <c r="E29" t="inlineStr">
        <is>
          <t>R6</t>
        </is>
      </c>
      <c r="F29" t="n">
        <v>3976.3</v>
      </c>
      <c r="G29" t="inlineStr">
        <is>
          <t>628-7(1)</t>
        </is>
      </c>
      <c r="H29" t="n">
        <v>302.93</v>
      </c>
      <c r="I29" t="n">
        <v>302.93</v>
      </c>
      <c r="J29" t="n">
        <v>302.94</v>
      </c>
      <c r="K29" t="n">
        <v>-220.04</v>
      </c>
      <c r="L29" t="inlineStr">
        <is>
          <t>否</t>
        </is>
      </c>
      <c r="M29" t="inlineStr">
        <is>
          <t>不適用（非配地列）</t>
        </is>
      </c>
    </row>
    <row r="30">
      <c r="A30" t="inlineStr">
        <is>
          <t>3.5m</t>
        </is>
      </c>
      <c r="B30" t="inlineStr">
        <is>
          <t>trunk A′（Step G＋步驟J 就地改寫後）</t>
        </is>
      </c>
      <c r="C30" t="inlineStr">
        <is>
          <t>628-20</t>
        </is>
      </c>
      <c r="D30" t="n">
        <v>570.15</v>
      </c>
      <c r="E30" t="inlineStr">
        <is>
          <t>R6</t>
        </is>
      </c>
      <c r="F30" t="n">
        <v>3976.3</v>
      </c>
      <c r="G30" t="inlineStr">
        <is>
          <t>628-20(1)</t>
        </is>
      </c>
      <c r="H30" t="n">
        <v>339.91</v>
      </c>
      <c r="I30" t="n">
        <v>339.91</v>
      </c>
      <c r="J30" t="n">
        <v>339.92</v>
      </c>
      <c r="K30" t="n">
        <v>-230.24</v>
      </c>
      <c r="L30" t="inlineStr">
        <is>
          <t>否</t>
        </is>
      </c>
      <c r="M30" t="inlineStr">
        <is>
          <t>不適用（非配地列）</t>
        </is>
      </c>
    </row>
    <row r="31">
      <c r="A31" t="inlineStr">
        <is>
          <t>3.5m</t>
        </is>
      </c>
      <c r="B31" t="inlineStr">
        <is>
          <t>trunk A′（Step G＋步驟J 就地改寫後）</t>
        </is>
      </c>
      <c r="C31" t="inlineStr">
        <is>
          <t>628-45</t>
        </is>
      </c>
      <c r="D31" t="n">
        <v>634.4</v>
      </c>
      <c r="E31" t="inlineStr">
        <is>
          <t>R5</t>
        </is>
      </c>
      <c r="F31" t="n">
        <v>4150.21</v>
      </c>
      <c r="G31" t="inlineStr">
        <is>
          <t>628-45(1)+</t>
        </is>
      </c>
      <c r="H31" t="n">
        <v>346.17</v>
      </c>
      <c r="I31" t="n">
        <v>346.17</v>
      </c>
      <c r="J31" t="n">
        <v>346.18</v>
      </c>
      <c r="K31" t="n">
        <v>-288.23</v>
      </c>
      <c r="L31" t="inlineStr">
        <is>
          <t>是</t>
        </is>
      </c>
      <c r="M31" t="inlineStr">
        <is>
          <t>不適用（非配地列）</t>
        </is>
      </c>
    </row>
    <row r="32">
      <c r="A32" t="inlineStr">
        <is>
          <t>3.5m</t>
        </is>
      </c>
      <c r="B32" t="inlineStr">
        <is>
          <t>trunk A′（Step G＋步驟J 就地改寫後）</t>
        </is>
      </c>
      <c r="C32" t="inlineStr">
        <is>
          <t>628-18</t>
        </is>
      </c>
      <c r="D32" t="n">
        <v>381.09</v>
      </c>
      <c r="E32" t="inlineStr">
        <is>
          <t>R5</t>
        </is>
      </c>
      <c r="F32" t="n">
        <v>4150.21</v>
      </c>
      <c r="G32" t="inlineStr">
        <is>
          <t>628-18(2)</t>
        </is>
      </c>
      <c r="H32" t="n">
        <v>206.72</v>
      </c>
      <c r="I32" t="n">
        <v>206.72</v>
      </c>
      <c r="J32" t="n">
        <v>206.72</v>
      </c>
      <c r="K32" t="n">
        <v>-174.37</v>
      </c>
      <c r="L32" t="inlineStr">
        <is>
          <t>否</t>
        </is>
      </c>
      <c r="M32" t="inlineStr">
        <is>
          <t>不適用（非配地列）</t>
        </is>
      </c>
    </row>
    <row r="33">
      <c r="A33" t="inlineStr">
        <is>
          <t>3.5m</t>
        </is>
      </c>
      <c r="B33" t="inlineStr">
        <is>
          <t>trunk A′（Step G＋步驟J 就地改寫後）</t>
        </is>
      </c>
      <c r="C33" t="inlineStr">
        <is>
          <t>628-7</t>
        </is>
      </c>
      <c r="D33" t="n">
        <v>436.69</v>
      </c>
      <c r="E33" t="inlineStr">
        <is>
          <t>R5</t>
        </is>
      </c>
      <c r="F33" t="n">
        <v>4150.21</v>
      </c>
      <c r="G33" t="inlineStr">
        <is>
          <t>628-7(2)</t>
        </is>
      </c>
      <c r="H33" t="n">
        <v>252.55</v>
      </c>
      <c r="I33" t="n">
        <v>252.55</v>
      </c>
      <c r="J33" t="n">
        <v>252.56</v>
      </c>
      <c r="K33" t="n">
        <v>-184.14</v>
      </c>
      <c r="L33" t="inlineStr">
        <is>
          <t>否</t>
        </is>
      </c>
      <c r="M33" t="inlineStr">
        <is>
          <t>不適用（非配地列）</t>
        </is>
      </c>
    </row>
    <row r="34">
      <c r="A34" t="inlineStr">
        <is>
          <t>3.5m</t>
        </is>
      </c>
      <c r="B34" t="inlineStr">
        <is>
          <t>trunk A′（Step G＋步驟J 就地改寫後）</t>
        </is>
      </c>
      <c r="C34" t="inlineStr">
        <is>
          <t>628-31</t>
        </is>
      </c>
      <c r="D34" t="n">
        <v>18.34</v>
      </c>
      <c r="E34" t="inlineStr">
        <is>
          <t>R5</t>
        </is>
      </c>
      <c r="F34" t="n">
        <v>4150.21</v>
      </c>
      <c r="G34" t="inlineStr">
        <is>
          <t>628-31(1)</t>
        </is>
      </c>
      <c r="H34" t="n">
        <v>10.7</v>
      </c>
      <c r="I34" t="n">
        <v>10.7</v>
      </c>
      <c r="J34" t="n">
        <v>10.69</v>
      </c>
      <c r="K34" t="n">
        <v>-7.64</v>
      </c>
      <c r="L34" t="inlineStr">
        <is>
          <t>否</t>
        </is>
      </c>
      <c r="M34" t="inlineStr">
        <is>
          <t>不適用（非配地列）</t>
        </is>
      </c>
    </row>
    <row r="35">
      <c r="A35" t="inlineStr">
        <is>
          <t>3.5m</t>
        </is>
      </c>
      <c r="B35" t="inlineStr">
        <is>
          <t>trunk A′（Step G＋步驟J 就地改寫後）</t>
        </is>
      </c>
      <c r="C35" t="inlineStr">
        <is>
          <t>628-32</t>
        </is>
      </c>
      <c r="D35" t="n">
        <v>5.39</v>
      </c>
      <c r="E35" t="inlineStr">
        <is>
          <t>R5</t>
        </is>
      </c>
      <c r="F35" t="n">
        <v>4150.21</v>
      </c>
      <c r="G35" t="inlineStr">
        <is>
          <t>628-32(1)</t>
        </is>
      </c>
      <c r="H35" t="n">
        <v>3.14</v>
      </c>
      <c r="I35" t="n">
        <v>3.14</v>
      </c>
      <c r="J35" t="n">
        <v>3.14</v>
      </c>
      <c r="K35" t="n">
        <v>-2.25</v>
      </c>
      <c r="L35" t="inlineStr">
        <is>
          <t>否</t>
        </is>
      </c>
      <c r="M35" t="inlineStr">
        <is>
          <t>不適用（非配地列）</t>
        </is>
      </c>
    </row>
    <row r="36">
      <c r="A36" t="inlineStr">
        <is>
          <t>3.5m</t>
        </is>
      </c>
      <c r="B36" t="inlineStr">
        <is>
          <t>trunk A′（Step G＋步驟J 就地改寫後）</t>
        </is>
      </c>
      <c r="C36" t="inlineStr">
        <is>
          <t>628</t>
        </is>
      </c>
      <c r="D36" t="n">
        <v>236.68</v>
      </c>
      <c r="E36" t="inlineStr">
        <is>
          <t>R5</t>
        </is>
      </c>
      <c r="F36" t="n">
        <v>4150.21</v>
      </c>
      <c r="G36" t="inlineStr">
        <is>
          <t>628(3)</t>
        </is>
      </c>
      <c r="H36" t="n">
        <v>148.72</v>
      </c>
      <c r="I36" t="n">
        <v>148.72</v>
      </c>
      <c r="J36" t="n">
        <v>148.72</v>
      </c>
      <c r="K36" t="n">
        <v>-87.95999999999999</v>
      </c>
      <c r="L36" t="inlineStr">
        <is>
          <t>否</t>
        </is>
      </c>
      <c r="M36" t="inlineStr">
        <is>
          <t>不適用（非配地列）</t>
        </is>
      </c>
    </row>
    <row r="37">
      <c r="A37" t="inlineStr">
        <is>
          <t>3.5m</t>
        </is>
      </c>
      <c r="B37" t="inlineStr">
        <is>
          <t>trunk A′（Step G＋步驟J 就地改寫後）</t>
        </is>
      </c>
      <c r="C37" t="inlineStr">
        <is>
          <t>628-21</t>
        </is>
      </c>
      <c r="D37" t="n">
        <v>2421.73</v>
      </c>
      <c r="E37" t="inlineStr">
        <is>
          <t>R5</t>
        </is>
      </c>
      <c r="F37" t="n">
        <v>4150.21</v>
      </c>
      <c r="G37" t="inlineStr">
        <is>
          <t>628-21(2)+</t>
        </is>
      </c>
      <c r="H37" t="n">
        <v>1415.25</v>
      </c>
      <c r="I37" t="n">
        <v>1415.25</v>
      </c>
      <c r="J37" t="n">
        <v>1415.25</v>
      </c>
      <c r="K37" t="n">
        <v>-1006.48</v>
      </c>
      <c r="L37" t="inlineStr">
        <is>
          <t>否</t>
        </is>
      </c>
      <c r="M37" t="inlineStr">
        <is>
          <t>不適用（非配地列）</t>
        </is>
      </c>
    </row>
    <row r="38">
      <c r="A38" t="inlineStr">
        <is>
          <t>3.5m</t>
        </is>
      </c>
      <c r="B38" t="inlineStr">
        <is>
          <t>trunk A′（Step G＋步驟J 就地改寫後）</t>
        </is>
      </c>
      <c r="C38" t="inlineStr">
        <is>
          <t>628</t>
        </is>
      </c>
      <c r="D38" t="n">
        <v>71.69</v>
      </c>
      <c r="E38" t="inlineStr">
        <is>
          <t>R3</t>
        </is>
      </c>
      <c r="F38" t="n">
        <v>4206.8</v>
      </c>
      <c r="G38" t="inlineStr">
        <is>
          <t>628(4)</t>
        </is>
      </c>
      <c r="H38" t="n">
        <v>44.9</v>
      </c>
      <c r="I38" t="n">
        <v>44.9</v>
      </c>
      <c r="J38" t="n">
        <v>44.89</v>
      </c>
      <c r="K38" t="n">
        <v>-26.79</v>
      </c>
      <c r="L38" t="inlineStr">
        <is>
          <t>否</t>
        </is>
      </c>
      <c r="M38" t="inlineStr">
        <is>
          <t>不適用（非配地列）</t>
        </is>
      </c>
    </row>
    <row r="39">
      <c r="A39" t="inlineStr">
        <is>
          <t>3.5m</t>
        </is>
      </c>
      <c r="B39" t="inlineStr">
        <is>
          <t>trunk A′（Step G＋步驟J 就地改寫後）</t>
        </is>
      </c>
      <c r="C39" t="inlineStr">
        <is>
          <t>628-34</t>
        </is>
      </c>
      <c r="D39" t="n">
        <v>429.35</v>
      </c>
      <c r="E39" t="inlineStr">
        <is>
          <t>R3</t>
        </is>
      </c>
      <c r="F39" t="n">
        <v>4206.8</v>
      </c>
      <c r="G39" t="inlineStr">
        <is>
          <t>628-34(2)</t>
        </is>
      </c>
      <c r="H39" t="n">
        <v>250.25</v>
      </c>
      <c r="I39" t="n">
        <v>250.25</v>
      </c>
      <c r="J39" t="n">
        <v>250.25</v>
      </c>
      <c r="K39" t="n">
        <v>-179.1</v>
      </c>
      <c r="L39" t="inlineStr">
        <is>
          <t>否</t>
        </is>
      </c>
      <c r="M39" t="inlineStr">
        <is>
          <t>不適用（非配地列）</t>
        </is>
      </c>
    </row>
    <row r="40">
      <c r="A40" t="inlineStr">
        <is>
          <t>3.5m</t>
        </is>
      </c>
      <c r="B40" t="inlineStr">
        <is>
          <t>trunk A′（Step G＋步驟J 就地改寫後）</t>
        </is>
      </c>
      <c r="C40" t="inlineStr">
        <is>
          <t>628-46</t>
        </is>
      </c>
      <c r="D40" t="n">
        <v>124.85</v>
      </c>
      <c r="E40" t="inlineStr">
        <is>
          <t>R3</t>
        </is>
      </c>
      <c r="F40" t="n">
        <v>4206.8</v>
      </c>
      <c r="G40" t="inlineStr">
        <is>
          <t>628-46(1)</t>
        </is>
      </c>
      <c r="H40" t="n">
        <v>72.77</v>
      </c>
      <c r="I40" t="n">
        <v>72.77</v>
      </c>
      <c r="J40" t="n">
        <v>72.78</v>
      </c>
      <c r="K40" t="n">
        <v>-52.08</v>
      </c>
      <c r="L40" t="inlineStr">
        <is>
          <t>否</t>
        </is>
      </c>
      <c r="M40" t="inlineStr">
        <is>
          <t>不適用（非配地列）</t>
        </is>
      </c>
    </row>
    <row r="41">
      <c r="A41" t="inlineStr">
        <is>
          <t>3.5m</t>
        </is>
      </c>
      <c r="B41" t="inlineStr">
        <is>
          <t>trunk A′（Step G＋步驟J 就地改寫後）</t>
        </is>
      </c>
      <c r="C41" t="inlineStr">
        <is>
          <t>628-47</t>
        </is>
      </c>
      <c r="D41" t="n">
        <v>627.61</v>
      </c>
      <c r="E41" t="inlineStr">
        <is>
          <t>R3</t>
        </is>
      </c>
      <c r="F41" t="n">
        <v>4206.8</v>
      </c>
      <c r="G41" t="inlineStr">
        <is>
          <t>628-47(1)+</t>
        </is>
      </c>
      <c r="H41" t="n">
        <v>365.84</v>
      </c>
      <c r="I41" t="n">
        <v>365.84</v>
      </c>
      <c r="J41" t="n">
        <v>365.84</v>
      </c>
      <c r="K41" t="n">
        <v>-261.77</v>
      </c>
      <c r="L41" t="inlineStr">
        <is>
          <t>否</t>
        </is>
      </c>
      <c r="M41" t="inlineStr">
        <is>
          <t>不適用（非配地列）</t>
        </is>
      </c>
    </row>
    <row r="42">
      <c r="A42" t="inlineStr">
        <is>
          <t>3.5m</t>
        </is>
      </c>
      <c r="B42" t="inlineStr">
        <is>
          <t>trunk A′（Step G＋步驟J 就地改寫後）</t>
        </is>
      </c>
      <c r="C42" t="inlineStr">
        <is>
          <t>628-32</t>
        </is>
      </c>
      <c r="D42" t="n">
        <v>722.88</v>
      </c>
      <c r="E42" t="inlineStr">
        <is>
          <t>R3</t>
        </is>
      </c>
      <c r="F42" t="n">
        <v>4206.8</v>
      </c>
      <c r="G42" t="inlineStr">
        <is>
          <t>628-32(3)</t>
        </is>
      </c>
      <c r="H42" t="n">
        <v>421.41</v>
      </c>
      <c r="I42" t="n">
        <v>421.41</v>
      </c>
      <c r="J42" t="n">
        <v>421.41</v>
      </c>
      <c r="K42" t="n">
        <v>-301.47</v>
      </c>
      <c r="L42" t="inlineStr">
        <is>
          <t>否</t>
        </is>
      </c>
      <c r="M42" t="inlineStr">
        <is>
          <t>不適用（非配地列）</t>
        </is>
      </c>
    </row>
    <row r="43">
      <c r="A43" t="inlineStr">
        <is>
          <t>3.5m</t>
        </is>
      </c>
      <c r="B43" t="inlineStr">
        <is>
          <t>trunk A′（Step G＋步驟J 就地改寫後）</t>
        </is>
      </c>
      <c r="C43" t="inlineStr">
        <is>
          <t>628-30</t>
        </is>
      </c>
      <c r="D43" t="n">
        <v>1145.67</v>
      </c>
      <c r="E43" t="inlineStr">
        <is>
          <t>R3</t>
        </is>
      </c>
      <c r="F43" t="n">
        <v>4206.8</v>
      </c>
      <c r="G43" t="inlineStr">
        <is>
          <t>628-30(3)+</t>
        </is>
      </c>
      <c r="H43" t="n">
        <v>627.5700000000001</v>
      </c>
      <c r="I43" t="n">
        <v>627.5700000000001</v>
      </c>
      <c r="J43" t="n">
        <v>627.5700000000001</v>
      </c>
      <c r="K43" t="n">
        <v>-518.1</v>
      </c>
      <c r="L43" t="inlineStr">
        <is>
          <t>是</t>
        </is>
      </c>
      <c r="M43" t="inlineStr">
        <is>
          <t>不適用（非配地列）</t>
        </is>
      </c>
    </row>
    <row r="44">
      <c r="A44" t="inlineStr">
        <is>
          <t>3.5m</t>
        </is>
      </c>
      <c r="B44" t="inlineStr">
        <is>
          <t>trunk A′（Step G＋步驟J 就地改寫後）</t>
        </is>
      </c>
      <c r="C44" t="inlineStr">
        <is>
          <t>628-42</t>
        </is>
      </c>
      <c r="D44" t="n">
        <v>153.46</v>
      </c>
      <c r="E44" t="inlineStr">
        <is>
          <t>R3</t>
        </is>
      </c>
      <c r="F44" t="n">
        <v>4206.8</v>
      </c>
      <c r="G44" t="inlineStr">
        <is>
          <t>628-42(2)</t>
        </is>
      </c>
      <c r="H44" t="n">
        <v>89.95999999999999</v>
      </c>
      <c r="I44" t="n">
        <v>89.95999999999999</v>
      </c>
      <c r="J44" t="n">
        <v>89.97</v>
      </c>
      <c r="K44" t="n">
        <v>-63.5</v>
      </c>
      <c r="L44" t="inlineStr">
        <is>
          <t>否</t>
        </is>
      </c>
      <c r="M44" t="inlineStr">
        <is>
          <t>不適用（非配地列）</t>
        </is>
      </c>
    </row>
    <row r="45">
      <c r="A45" t="inlineStr">
        <is>
          <t>3.5m</t>
        </is>
      </c>
      <c r="B45" t="inlineStr">
        <is>
          <t>trunk A′（Step G＋步驟J 就地改寫後）</t>
        </is>
      </c>
      <c r="C45" t="inlineStr">
        <is>
          <t>628-27</t>
        </is>
      </c>
      <c r="D45" t="n">
        <v>46.68</v>
      </c>
      <c r="E45" t="inlineStr">
        <is>
          <t>R3</t>
        </is>
      </c>
      <c r="F45" t="n">
        <v>4206.8</v>
      </c>
      <c r="G45" t="inlineStr">
        <is>
          <t>628-27(2)</t>
        </is>
      </c>
      <c r="H45" t="n">
        <v>26.54</v>
      </c>
      <c r="I45" t="n">
        <v>26.54</v>
      </c>
      <c r="J45" t="n">
        <v>26.54</v>
      </c>
      <c r="K45" t="n">
        <v>-20.14</v>
      </c>
      <c r="L45" t="inlineStr">
        <is>
          <t>否</t>
        </is>
      </c>
      <c r="M45" t="inlineStr">
        <is>
          <t>不適用（非配地列）</t>
        </is>
      </c>
    </row>
    <row r="46">
      <c r="A46" t="inlineStr">
        <is>
          <t>3.5m</t>
        </is>
      </c>
      <c r="B46" t="inlineStr">
        <is>
          <t>trunk A′（Step G＋步驟J 就地改寫後）</t>
        </is>
      </c>
      <c r="C46" t="inlineStr">
        <is>
          <t>628-29</t>
        </is>
      </c>
      <c r="D46" t="n">
        <v>228</v>
      </c>
      <c r="E46" t="inlineStr">
        <is>
          <t>R3</t>
        </is>
      </c>
      <c r="F46" t="n">
        <v>4206.8</v>
      </c>
      <c r="G46" t="inlineStr">
        <is>
          <t>628-29(1)+</t>
        </is>
      </c>
      <c r="H46" t="n">
        <v>131.61</v>
      </c>
      <c r="I46" t="n">
        <v>131.61</v>
      </c>
      <c r="J46" t="n">
        <v>131.61</v>
      </c>
      <c r="K46" t="n">
        <v>-96.39</v>
      </c>
      <c r="L46" t="inlineStr">
        <is>
          <t>否</t>
        </is>
      </c>
      <c r="M46" t="inlineStr">
        <is>
          <t>不適用（非配地列）</t>
        </is>
      </c>
    </row>
    <row r="47">
      <c r="A47" t="inlineStr">
        <is>
          <t>3.5m</t>
        </is>
      </c>
      <c r="B47" t="inlineStr">
        <is>
          <t>trunk A′（Step G＋步驟J 就地改寫後）</t>
        </is>
      </c>
      <c r="C47" t="inlineStr">
        <is>
          <t>628-31</t>
        </is>
      </c>
      <c r="D47" t="n">
        <v>652.89</v>
      </c>
      <c r="E47" t="inlineStr">
        <is>
          <t>R3</t>
        </is>
      </c>
      <c r="F47" t="n">
        <v>4206.8</v>
      </c>
      <c r="G47" t="inlineStr">
        <is>
          <t>628-31(3)</t>
        </is>
      </c>
      <c r="H47" t="n">
        <v>380.81</v>
      </c>
      <c r="I47" t="n">
        <v>380.81</v>
      </c>
      <c r="J47" t="n">
        <v>380.81</v>
      </c>
      <c r="K47" t="n">
        <v>-272.08</v>
      </c>
      <c r="L47" t="inlineStr">
        <is>
          <t>否</t>
        </is>
      </c>
      <c r="M47" t="inlineStr">
        <is>
          <t>不適用（非配地列）</t>
        </is>
      </c>
    </row>
    <row r="49">
      <c r="A49" s="4" t="inlineStr">
        <is>
          <t>─── 抵費地（池片）───</t>
        </is>
      </c>
    </row>
    <row r="50">
      <c r="A50" t="inlineStr">
        <is>
          <t>3.5m</t>
        </is>
      </c>
      <c r="B50" t="inlineStr">
        <is>
          <t>trunk A′（Step G＋步驟J 就地改寫後）</t>
        </is>
      </c>
      <c r="C50" t="inlineStr">
        <is>
          <t>—</t>
        </is>
      </c>
      <c r="D50" t="inlineStr">
        <is>
          <t>—</t>
        </is>
      </c>
      <c r="E50" t="inlineStr">
        <is>
          <t>R1</t>
        </is>
      </c>
      <c r="F50" t="n">
        <v>2893.55</v>
      </c>
      <c r="G50" t="inlineStr">
        <is>
          <t>R1-抵費地@s[0.2012,0.6360]</t>
        </is>
      </c>
      <c r="H50" t="inlineStr">
        <is>
          <t>—</t>
        </is>
      </c>
      <c r="I50" t="inlineStr">
        <is>
          <t>—</t>
        </is>
      </c>
      <c r="J50" t="n">
        <v>1169.71</v>
      </c>
      <c r="K50" t="inlineStr">
        <is>
          <t>—</t>
        </is>
      </c>
      <c r="L50" t="inlineStr">
        <is>
          <t>抵費地</t>
        </is>
      </c>
      <c r="M50" t="inlineStr">
        <is>
          <t>不適用（非配地列）</t>
        </is>
      </c>
    </row>
    <row r="51">
      <c r="A51" t="inlineStr">
        <is>
          <t>3.5m</t>
        </is>
      </c>
      <c r="B51" t="inlineStr">
        <is>
          <t>trunk A′（Step G＋步驟J 就地改寫後）</t>
        </is>
      </c>
      <c r="C51" t="inlineStr">
        <is>
          <t>—</t>
        </is>
      </c>
      <c r="D51" t="inlineStr">
        <is>
          <t>—</t>
        </is>
      </c>
      <c r="E51" t="inlineStr">
        <is>
          <t>R1</t>
        </is>
      </c>
      <c r="F51" t="n">
        <v>2893.55</v>
      </c>
      <c r="G51" t="inlineStr">
        <is>
          <t>R1-抵費地@s[0.2012,0.2319]</t>
        </is>
      </c>
      <c r="H51" t="inlineStr">
        <is>
          <t>—</t>
        </is>
      </c>
      <c r="I51" t="inlineStr">
        <is>
          <t>—</t>
        </is>
      </c>
      <c r="J51" t="n">
        <v>5.38</v>
      </c>
      <c r="K51" t="inlineStr">
        <is>
          <t>—</t>
        </is>
      </c>
      <c r="L51" t="inlineStr">
        <is>
          <t>抵費地</t>
        </is>
      </c>
      <c r="M51" t="inlineStr">
        <is>
          <t>不適用（非配地列）</t>
        </is>
      </c>
    </row>
    <row r="52">
      <c r="A52" t="inlineStr">
        <is>
          <t>3.5m</t>
        </is>
      </c>
      <c r="B52" t="inlineStr">
        <is>
          <t>trunk A′（Step G＋步驟J 就地改寫後）</t>
        </is>
      </c>
      <c r="C52" t="inlineStr">
        <is>
          <t>—</t>
        </is>
      </c>
      <c r="D52" t="inlineStr">
        <is>
          <t>—</t>
        </is>
      </c>
      <c r="E52" t="inlineStr">
        <is>
          <t>R2</t>
        </is>
      </c>
      <c r="F52" t="n">
        <v>4368.6</v>
      </c>
      <c r="G52" t="inlineStr">
        <is>
          <t>R2-抵費地@s[0.3286,0.6924]</t>
        </is>
      </c>
      <c r="H52" t="inlineStr">
        <is>
          <t>—</t>
        </is>
      </c>
      <c r="I52" t="inlineStr">
        <is>
          <t>—</t>
        </is>
      </c>
      <c r="J52" t="n">
        <v>1478.12</v>
      </c>
      <c r="K52" t="inlineStr">
        <is>
          <t>—</t>
        </is>
      </c>
      <c r="L52" t="inlineStr">
        <is>
          <t>抵費地</t>
        </is>
      </c>
      <c r="M52" t="inlineStr">
        <is>
          <t>不適用（非配地列）</t>
        </is>
      </c>
    </row>
    <row r="53">
      <c r="A53" t="inlineStr">
        <is>
          <t>3.5m</t>
        </is>
      </c>
      <c r="B53" t="inlineStr">
        <is>
          <t>trunk A′（Step G＋步驟J 就地改寫後）</t>
        </is>
      </c>
      <c r="C53" t="inlineStr">
        <is>
          <t>—</t>
        </is>
      </c>
      <c r="D53" t="inlineStr">
        <is>
          <t>—</t>
        </is>
      </c>
      <c r="E53" t="inlineStr">
        <is>
          <t>R2</t>
        </is>
      </c>
      <c r="F53" t="n">
        <v>4368.6</v>
      </c>
      <c r="G53" t="inlineStr">
        <is>
          <t>R2-抵費地@s[0.0002,0.0721]</t>
        </is>
      </c>
      <c r="H53" t="inlineStr">
        <is>
          <t>—</t>
        </is>
      </c>
      <c r="I53" t="inlineStr">
        <is>
          <t>—</t>
        </is>
      </c>
      <c r="J53" t="n">
        <v>308.17</v>
      </c>
      <c r="K53" t="inlineStr">
        <is>
          <t>—</t>
        </is>
      </c>
      <c r="L53" t="inlineStr">
        <is>
          <t>抵費地</t>
        </is>
      </c>
      <c r="M53" t="inlineStr">
        <is>
          <t>不適用（非配地列）</t>
        </is>
      </c>
    </row>
    <row r="54">
      <c r="A54" t="inlineStr">
        <is>
          <t>3.5m</t>
        </is>
      </c>
      <c r="B54" t="inlineStr">
        <is>
          <t>trunk A′（Step G＋步驟J 就地改寫後）</t>
        </is>
      </c>
      <c r="C54" t="inlineStr">
        <is>
          <t>—</t>
        </is>
      </c>
      <c r="D54" t="inlineStr">
        <is>
          <t>—</t>
        </is>
      </c>
      <c r="E54" t="inlineStr">
        <is>
          <t>R4</t>
        </is>
      </c>
      <c r="F54" t="n">
        <v>3207.87</v>
      </c>
      <c r="G54" t="inlineStr">
        <is>
          <t>R4-抵費地@s[0.7045,0.9998]</t>
        </is>
      </c>
      <c r="H54" t="inlineStr">
        <is>
          <t>—</t>
        </is>
      </c>
      <c r="I54" t="inlineStr">
        <is>
          <t>—</t>
        </is>
      </c>
      <c r="J54" t="n">
        <v>933.73</v>
      </c>
      <c r="K54" t="inlineStr">
        <is>
          <t>—</t>
        </is>
      </c>
      <c r="L54" t="inlineStr">
        <is>
          <t>抵費地</t>
        </is>
      </c>
      <c r="M54" t="inlineStr">
        <is>
          <t>不適用（非配地列）</t>
        </is>
      </c>
    </row>
    <row r="55">
      <c r="A55" t="inlineStr">
        <is>
          <t>3.5m</t>
        </is>
      </c>
      <c r="B55" t="inlineStr">
        <is>
          <t>trunk A′（Step G＋步驟J 就地改寫後）</t>
        </is>
      </c>
      <c r="C55" t="inlineStr">
        <is>
          <t>—</t>
        </is>
      </c>
      <c r="D55" t="inlineStr">
        <is>
          <t>—</t>
        </is>
      </c>
      <c r="E55" t="inlineStr">
        <is>
          <t>R4</t>
        </is>
      </c>
      <c r="F55" t="n">
        <v>3207.87</v>
      </c>
      <c r="G55" t="inlineStr">
        <is>
          <t>R4-抵費地@s[0.0035,0.1022]</t>
        </is>
      </c>
      <c r="H55" t="inlineStr">
        <is>
          <t>—</t>
        </is>
      </c>
      <c r="I55" t="inlineStr">
        <is>
          <t>—</t>
        </is>
      </c>
      <c r="J55" t="n">
        <v>226.01</v>
      </c>
      <c r="K55" t="inlineStr">
        <is>
          <t>—</t>
        </is>
      </c>
      <c r="L55" t="inlineStr">
        <is>
          <t>抵費地</t>
        </is>
      </c>
      <c r="M55" t="inlineStr">
        <is>
          <t>不適用（非配地列）</t>
        </is>
      </c>
    </row>
    <row r="56">
      <c r="A56" t="inlineStr">
        <is>
          <t>3.5m</t>
        </is>
      </c>
      <c r="B56" t="inlineStr">
        <is>
          <t>trunk A′（Step G＋步驟J 就地改寫後）</t>
        </is>
      </c>
      <c r="C56" t="inlineStr">
        <is>
          <t>—</t>
        </is>
      </c>
      <c r="D56" t="inlineStr">
        <is>
          <t>—</t>
        </is>
      </c>
      <c r="E56" t="inlineStr">
        <is>
          <t>R4</t>
        </is>
      </c>
      <c r="F56" t="n">
        <v>3207.87</v>
      </c>
      <c r="G56" t="inlineStr">
        <is>
          <t>R4-抵費地@s[0.3232,0.7197]</t>
        </is>
      </c>
      <c r="H56" t="inlineStr">
        <is>
          <t>—</t>
        </is>
      </c>
      <c r="I56" t="inlineStr">
        <is>
          <t>—</t>
        </is>
      </c>
      <c r="J56" t="n">
        <v>26.08</v>
      </c>
      <c r="K56" t="inlineStr">
        <is>
          <t>—</t>
        </is>
      </c>
      <c r="L56" t="inlineStr">
        <is>
          <t>抵費地</t>
        </is>
      </c>
      <c r="M56" t="inlineStr">
        <is>
          <t>不適用（非配地列）</t>
        </is>
      </c>
    </row>
    <row r="57">
      <c r="A57" t="inlineStr">
        <is>
          <t>3.5m</t>
        </is>
      </c>
      <c r="B57" t="inlineStr">
        <is>
          <t>trunk A′（Step G＋步驟J 就地改寫後）</t>
        </is>
      </c>
      <c r="C57" t="inlineStr">
        <is>
          <t>—</t>
        </is>
      </c>
      <c r="D57" t="inlineStr">
        <is>
          <t>—</t>
        </is>
      </c>
      <c r="E57" t="inlineStr">
        <is>
          <t>R6</t>
        </is>
      </c>
      <c r="F57" t="n">
        <v>3976.3</v>
      </c>
      <c r="G57" t="inlineStr">
        <is>
          <t>R6-抵費地@s[0.3180,0.7564]</t>
        </is>
      </c>
      <c r="H57" t="inlineStr">
        <is>
          <t>—</t>
        </is>
      </c>
      <c r="I57" t="inlineStr">
        <is>
          <t>—</t>
        </is>
      </c>
      <c r="J57" t="n">
        <v>1543.01</v>
      </c>
      <c r="K57" t="inlineStr">
        <is>
          <t>—</t>
        </is>
      </c>
      <c r="L57" t="inlineStr">
        <is>
          <t>抵費地</t>
        </is>
      </c>
      <c r="M57" t="inlineStr">
        <is>
          <t>不適用（非配地列）</t>
        </is>
      </c>
    </row>
    <row r="58">
      <c r="A58" t="inlineStr">
        <is>
          <t>3.5m</t>
        </is>
      </c>
      <c r="B58" t="inlineStr">
        <is>
          <t>trunk A′（Step G＋步驟J 就地改寫後）</t>
        </is>
      </c>
      <c r="C58" t="inlineStr">
        <is>
          <t>—</t>
        </is>
      </c>
      <c r="D58" t="inlineStr">
        <is>
          <t>—</t>
        </is>
      </c>
      <c r="E58" t="inlineStr">
        <is>
          <t>R6</t>
        </is>
      </c>
      <c r="F58" t="n">
        <v>3976.3</v>
      </c>
      <c r="G58" t="inlineStr">
        <is>
          <t>R6-抵費地@s[0.0000,0.0446]</t>
        </is>
      </c>
      <c r="H58" t="inlineStr">
        <is>
          <t>—</t>
        </is>
      </c>
      <c r="I58" t="inlineStr">
        <is>
          <t>—</t>
        </is>
      </c>
      <c r="J58" t="n">
        <v>85.70999999999999</v>
      </c>
      <c r="K58" t="inlineStr">
        <is>
          <t>—</t>
        </is>
      </c>
      <c r="L58" t="inlineStr">
        <is>
          <t>抵費地</t>
        </is>
      </c>
      <c r="M58" t="inlineStr">
        <is>
          <t>不適用（非配地列）</t>
        </is>
      </c>
    </row>
    <row r="59">
      <c r="A59" t="inlineStr">
        <is>
          <t>3.5m</t>
        </is>
      </c>
      <c r="B59" t="inlineStr">
        <is>
          <t>trunk A′（Step G＋步驟J 就地改寫後）</t>
        </is>
      </c>
      <c r="C59" t="inlineStr">
        <is>
          <t>—</t>
        </is>
      </c>
      <c r="D59" t="inlineStr">
        <is>
          <t>—</t>
        </is>
      </c>
      <c r="E59" t="inlineStr">
        <is>
          <t>R5</t>
        </is>
      </c>
      <c r="F59" t="n">
        <v>4150.21</v>
      </c>
      <c r="G59" t="inlineStr">
        <is>
          <t>R5-抵費地@s[0.2114,0.6411]</t>
        </is>
      </c>
      <c r="H59" t="inlineStr">
        <is>
          <t>—</t>
        </is>
      </c>
      <c r="I59" t="inlineStr">
        <is>
          <t>—</t>
        </is>
      </c>
      <c r="J59" t="n">
        <v>1620.78</v>
      </c>
      <c r="K59" t="inlineStr">
        <is>
          <t>—</t>
        </is>
      </c>
      <c r="L59" t="inlineStr">
        <is>
          <t>抵費地</t>
        </is>
      </c>
      <c r="M59" t="inlineStr">
        <is>
          <t>不適用（非配地列）</t>
        </is>
      </c>
    </row>
    <row r="60">
      <c r="A60" t="inlineStr">
        <is>
          <t>3.5m</t>
        </is>
      </c>
      <c r="B60" t="inlineStr">
        <is>
          <t>trunk A′（Step G＋步驟J 就地改寫後）</t>
        </is>
      </c>
      <c r="C60" t="inlineStr">
        <is>
          <t>—</t>
        </is>
      </c>
      <c r="D60" t="inlineStr">
        <is>
          <t>—</t>
        </is>
      </c>
      <c r="E60" t="inlineStr">
        <is>
          <t>R5</t>
        </is>
      </c>
      <c r="F60" t="n">
        <v>4150.21</v>
      </c>
      <c r="G60" t="inlineStr">
        <is>
          <t>R5-抵費地@s[0.0788,0.1227]</t>
        </is>
      </c>
      <c r="H60" t="inlineStr">
        <is>
          <t>—</t>
        </is>
      </c>
      <c r="I60" t="inlineStr">
        <is>
          <t>—</t>
        </is>
      </c>
      <c r="J60" t="n">
        <v>146.18</v>
      </c>
      <c r="K60" t="inlineStr">
        <is>
          <t>—</t>
        </is>
      </c>
      <c r="L60" t="inlineStr">
        <is>
          <t>抵費地</t>
        </is>
      </c>
      <c r="M60" t="inlineStr">
        <is>
          <t>不適用（非配地列）</t>
        </is>
      </c>
    </row>
    <row r="61">
      <c r="A61" t="inlineStr">
        <is>
          <t>3.5m</t>
        </is>
      </c>
      <c r="B61" t="inlineStr">
        <is>
          <t>trunk A′（Step G＋步驟J 就地改寫後）</t>
        </is>
      </c>
      <c r="C61" t="inlineStr">
        <is>
          <t>—</t>
        </is>
      </c>
      <c r="D61" t="inlineStr">
        <is>
          <t>—</t>
        </is>
      </c>
      <c r="E61" t="inlineStr">
        <is>
          <t>R3</t>
        </is>
      </c>
      <c r="F61" t="n">
        <v>4206.8</v>
      </c>
      <c r="G61" t="inlineStr">
        <is>
          <t>R3-抵費地@s[0.2381,0.7158]</t>
        </is>
      </c>
      <c r="H61" t="inlineStr">
        <is>
          <t>—</t>
        </is>
      </c>
      <c r="I61" t="inlineStr">
        <is>
          <t>—</t>
        </is>
      </c>
      <c r="J61" t="n">
        <v>1795.13</v>
      </c>
      <c r="K61" t="inlineStr">
        <is>
          <t>—</t>
        </is>
      </c>
      <c r="L61" t="inlineStr">
        <is>
          <t>抵費地</t>
        </is>
      </c>
      <c r="M61" t="inlineStr">
        <is>
          <t>不適用（非配地列）</t>
        </is>
      </c>
    </row>
  </sheetData>
  <mergeCells count="1">
    <mergeCell ref="A1:M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8" customWidth="1" min="11" max="11"/>
    <col width="18" customWidth="1" min="12" max="12"/>
    <col width="14" customWidth="1" min="13" max="13"/>
    <col width="18" customWidth="1" min="14" max="14"/>
  </cols>
  <sheetData>
    <row r="1">
      <c r="A1" s="1" t="inlineStr">
        <is>
          <t>歸戶負擔計算表（依市地重劃實施辦法 §29 附件二；V12 加入分配率）</t>
        </is>
      </c>
    </row>
    <row r="3">
      <c r="A3" s="3" t="inlineStr">
        <is>
          <t>歸戶ID</t>
        </is>
      </c>
      <c r="B3" s="3" t="inlineStr">
        <is>
          <t>原地號(全部)</t>
        </is>
      </c>
      <c r="C3" s="3" t="inlineStr">
        <is>
          <t>宗地數</t>
        </is>
      </c>
      <c r="D3" s="3" t="inlineStr">
        <is>
          <t>原總面積a(㎡)</t>
        </is>
      </c>
      <c r="E3" s="3" t="inlineStr">
        <is>
          <t>公設負擔 a×B(㎡)</t>
        </is>
      </c>
      <c r="F3" s="3" t="inlineStr">
        <is>
          <t>費用負擔 a×C(㎡)</t>
        </is>
      </c>
      <c r="G3" s="3" t="inlineStr">
        <is>
          <t>應配G(㎡)</t>
        </is>
      </c>
      <c r="H3" s="3" t="inlineStr">
        <is>
          <t>實配(㎡)</t>
        </is>
      </c>
      <c r="I3" s="3" t="inlineStr">
        <is>
          <t>差額(㎡)</t>
        </is>
      </c>
      <c r="J3" s="3" t="inlineStr">
        <is>
          <t>重劃前土地總面積(㎡)</t>
        </is>
      </c>
      <c r="K3" s="3" t="inlineStr">
        <is>
          <t>重劃後應分配土地面積(㎡)</t>
        </is>
      </c>
      <c r="L3" s="3" t="inlineStr">
        <is>
          <t>重劃後實際分配土地面積(㎡)</t>
        </is>
      </c>
      <c r="M3" s="3" t="inlineStr">
        <is>
          <t>土地分配率(%)</t>
        </is>
      </c>
      <c r="N3" s="3" t="inlineStr">
        <is>
          <t>備註</t>
        </is>
      </c>
    </row>
    <row r="4">
      <c r="A4" t="inlineStr">
        <is>
          <t>G001</t>
        </is>
      </c>
      <c r="B4" t="inlineStr">
        <is>
          <t>628-34</t>
        </is>
      </c>
      <c r="C4" t="n">
        <v>3</v>
      </c>
      <c r="D4" t="n">
        <v>1303.97</v>
      </c>
      <c r="E4" t="n">
        <v>223.03</v>
      </c>
      <c r="F4" t="n">
        <v>119.08</v>
      </c>
      <c r="G4" t="n">
        <v>768.36</v>
      </c>
      <c r="H4" t="n">
        <v>768.35</v>
      </c>
      <c r="I4" t="n">
        <v>-0.01</v>
      </c>
      <c r="J4" t="n">
        <v>1303.97</v>
      </c>
      <c r="K4" t="n">
        <v>768.36</v>
      </c>
      <c r="L4" t="n">
        <v>768.35</v>
      </c>
      <c r="M4" t="n">
        <v>58.92</v>
      </c>
      <c r="N4" t="inlineStr"/>
    </row>
    <row r="5">
      <c r="A5" t="inlineStr">
        <is>
          <t>G002</t>
        </is>
      </c>
      <c r="B5" t="inlineStr">
        <is>
          <t>628-39</t>
        </is>
      </c>
      <c r="C5" t="n">
        <v>1</v>
      </c>
      <c r="D5" t="n">
        <v>395.15</v>
      </c>
      <c r="E5" t="n">
        <v>67.59</v>
      </c>
      <c r="F5" t="n">
        <v>36.08</v>
      </c>
      <c r="G5" t="n">
        <v>236.54</v>
      </c>
      <c r="H5" t="n">
        <v>236.54</v>
      </c>
      <c r="I5" t="n">
        <v>0</v>
      </c>
      <c r="J5" t="n">
        <v>395.15</v>
      </c>
      <c r="K5" t="n">
        <v>236.54</v>
      </c>
      <c r="L5" t="n">
        <v>236.54</v>
      </c>
      <c r="M5" t="n">
        <v>59.86</v>
      </c>
      <c r="N5" t="inlineStr"/>
    </row>
    <row r="6">
      <c r="A6" t="inlineStr">
        <is>
          <t>G004</t>
        </is>
      </c>
      <c r="B6" t="inlineStr">
        <is>
          <t>628-52</t>
        </is>
      </c>
      <c r="C6" t="n">
        <v>1</v>
      </c>
      <c r="D6" t="n">
        <v>119.66</v>
      </c>
      <c r="E6" t="n">
        <v>20.47</v>
      </c>
      <c r="F6" t="n">
        <v>10.93</v>
      </c>
      <c r="G6" t="n">
        <v>71.59999999999999</v>
      </c>
      <c r="H6" t="n">
        <v>71.59999999999999</v>
      </c>
      <c r="I6" t="n">
        <v>0</v>
      </c>
      <c r="J6" t="n">
        <v>119.66</v>
      </c>
      <c r="K6" t="n">
        <v>71.59999999999999</v>
      </c>
      <c r="L6" t="n">
        <v>71.59999999999999</v>
      </c>
      <c r="M6" t="n">
        <v>59.84</v>
      </c>
      <c r="N6" t="inlineStr"/>
    </row>
    <row r="7">
      <c r="A7" t="inlineStr">
        <is>
          <t>G005</t>
        </is>
      </c>
      <c r="B7" t="inlineStr">
        <is>
          <t>628-18</t>
        </is>
      </c>
      <c r="C7" t="n">
        <v>2</v>
      </c>
      <c r="D7" t="n">
        <v>932.1799999999999</v>
      </c>
      <c r="E7" t="n">
        <v>159.44</v>
      </c>
      <c r="F7" t="n">
        <v>85.13</v>
      </c>
      <c r="G7" t="n">
        <v>514.5</v>
      </c>
      <c r="H7" t="n">
        <v>514.51</v>
      </c>
      <c r="I7" t="n">
        <v>0.01</v>
      </c>
      <c r="J7" t="n">
        <v>932.1799999999999</v>
      </c>
      <c r="K7" t="n">
        <v>514.5</v>
      </c>
      <c r="L7" t="n">
        <v>514.5</v>
      </c>
      <c r="M7" t="n">
        <v>55.19</v>
      </c>
      <c r="N7" t="inlineStr"/>
    </row>
    <row r="8">
      <c r="A8" t="inlineStr">
        <is>
          <t>G006</t>
        </is>
      </c>
      <c r="B8" t="inlineStr">
        <is>
          <t>628-47、628-49</t>
        </is>
      </c>
      <c r="C8" t="n">
        <v>2</v>
      </c>
      <c r="D8" t="n">
        <v>737</v>
      </c>
      <c r="E8" t="n">
        <v>126.06</v>
      </c>
      <c r="F8" t="n">
        <v>67.3</v>
      </c>
      <c r="G8" t="n">
        <v>431.29</v>
      </c>
      <c r="H8" t="n">
        <v>431.28</v>
      </c>
      <c r="I8" t="n">
        <v>-0.01</v>
      </c>
      <c r="J8" t="n">
        <v>737</v>
      </c>
      <c r="K8" t="n">
        <v>431.29</v>
      </c>
      <c r="L8" t="n">
        <v>431.29</v>
      </c>
      <c r="M8" t="n">
        <v>58.52</v>
      </c>
      <c r="N8" t="inlineStr"/>
    </row>
    <row r="9">
      <c r="A9" t="inlineStr">
        <is>
          <t>G007</t>
        </is>
      </c>
      <c r="B9" t="inlineStr">
        <is>
          <t>628-20、628-30、628-45</t>
        </is>
      </c>
      <c r="C9" t="n">
        <v>4</v>
      </c>
      <c r="D9" t="n">
        <v>2500.52</v>
      </c>
      <c r="E9" t="n">
        <v>427.7</v>
      </c>
      <c r="F9" t="n">
        <v>228.34</v>
      </c>
      <c r="G9" t="n">
        <v>1403.62</v>
      </c>
      <c r="H9" t="n">
        <v>1403.64</v>
      </c>
      <c r="I9" t="n">
        <v>0.02</v>
      </c>
      <c r="J9" t="n">
        <v>2500.52</v>
      </c>
      <c r="K9" t="n">
        <v>1403.62</v>
      </c>
      <c r="L9" t="n">
        <v>1403.65</v>
      </c>
      <c r="M9" t="n">
        <v>56.13</v>
      </c>
      <c r="N9" t="inlineStr"/>
    </row>
    <row r="10">
      <c r="A10" t="inlineStr">
        <is>
          <t>G008</t>
        </is>
      </c>
      <c r="B10" t="inlineStr">
        <is>
          <t>628-4</t>
        </is>
      </c>
      <c r="C10" t="n">
        <v>1</v>
      </c>
      <c r="D10" t="n">
        <v>1154</v>
      </c>
      <c r="E10" t="n">
        <v>197.38</v>
      </c>
      <c r="F10" t="n">
        <v>105.38</v>
      </c>
      <c r="G10" t="n">
        <v>692.09</v>
      </c>
      <c r="H10" t="n">
        <v>692.09</v>
      </c>
      <c r="I10" t="n">
        <v>0</v>
      </c>
      <c r="J10" t="n">
        <v>1154</v>
      </c>
      <c r="K10" t="n">
        <v>692.09</v>
      </c>
      <c r="L10" t="n">
        <v>692.09</v>
      </c>
      <c r="M10" t="n">
        <v>59.97</v>
      </c>
      <c r="N10" t="inlineStr"/>
    </row>
    <row r="11">
      <c r="A11" t="inlineStr">
        <is>
          <t>G009</t>
        </is>
      </c>
      <c r="B11" t="inlineStr">
        <is>
          <t>628</t>
        </is>
      </c>
      <c r="C11" t="n">
        <v>5</v>
      </c>
      <c r="D11" t="n">
        <v>4116.54</v>
      </c>
      <c r="E11" t="n">
        <v>704.1</v>
      </c>
      <c r="F11" t="n">
        <v>375.92</v>
      </c>
      <c r="G11" t="n">
        <v>2596.59</v>
      </c>
      <c r="H11" t="n">
        <v>2596.57</v>
      </c>
      <c r="I11" t="n">
        <v>-0.02</v>
      </c>
      <c r="J11" t="n">
        <v>4116.54</v>
      </c>
      <c r="K11" t="n">
        <v>2596.59</v>
      </c>
      <c r="L11" t="n">
        <v>2596.57</v>
      </c>
      <c r="M11" t="n">
        <v>63.08</v>
      </c>
      <c r="N11" t="inlineStr"/>
    </row>
    <row r="12">
      <c r="A12" t="inlineStr">
        <is>
          <t>G010</t>
        </is>
      </c>
      <c r="B12" t="inlineStr">
        <is>
          <t>628-40</t>
        </is>
      </c>
      <c r="C12" t="n">
        <v>1</v>
      </c>
      <c r="D12" t="n">
        <v>513.9299999999999</v>
      </c>
      <c r="E12" t="n">
        <v>87.90000000000001</v>
      </c>
      <c r="F12" t="n">
        <v>46.93</v>
      </c>
      <c r="G12" t="n">
        <v>299.07</v>
      </c>
      <c r="H12" t="n">
        <v>299.06</v>
      </c>
      <c r="I12" t="n">
        <v>-0.01</v>
      </c>
      <c r="J12" t="n">
        <v>513.9299999999999</v>
      </c>
      <c r="K12" t="n">
        <v>299.07</v>
      </c>
      <c r="L12" t="n">
        <v>299.06</v>
      </c>
      <c r="M12" t="n">
        <v>58.19</v>
      </c>
      <c r="N12" t="inlineStr"/>
    </row>
    <row r="13">
      <c r="A13" t="inlineStr">
        <is>
          <t>G011</t>
        </is>
      </c>
      <c r="B13" t="inlineStr">
        <is>
          <t>628-42</t>
        </is>
      </c>
      <c r="C13" t="n">
        <v>1</v>
      </c>
      <c r="D13" t="n">
        <v>153.46</v>
      </c>
      <c r="E13" t="n">
        <v>26.25</v>
      </c>
      <c r="F13" t="n">
        <v>14.01</v>
      </c>
      <c r="G13" t="n">
        <v>89.95999999999999</v>
      </c>
      <c r="H13" t="n">
        <v>89.97</v>
      </c>
      <c r="I13" t="n">
        <v>0.01</v>
      </c>
      <c r="J13" t="n">
        <v>153.46</v>
      </c>
      <c r="K13" t="n">
        <v>89.95999999999999</v>
      </c>
      <c r="L13" t="n">
        <v>89.97</v>
      </c>
      <c r="M13" t="n">
        <v>58.63</v>
      </c>
      <c r="N13" t="inlineStr"/>
    </row>
    <row r="14">
      <c r="A14" t="inlineStr">
        <is>
          <t>G014</t>
        </is>
      </c>
      <c r="B14" t="inlineStr">
        <is>
          <t>628-29</t>
        </is>
      </c>
      <c r="C14" t="n">
        <v>1</v>
      </c>
      <c r="D14" t="n">
        <v>228</v>
      </c>
      <c r="E14" t="n">
        <v>39</v>
      </c>
      <c r="F14" t="n">
        <v>20.82</v>
      </c>
      <c r="G14" t="n">
        <v>131.61</v>
      </c>
      <c r="H14" t="n">
        <v>131.61</v>
      </c>
      <c r="I14" t="n">
        <v>0</v>
      </c>
      <c r="J14" t="n">
        <v>228</v>
      </c>
      <c r="K14" t="n">
        <v>131.61</v>
      </c>
      <c r="L14" t="n">
        <v>131.61</v>
      </c>
      <c r="M14" t="n">
        <v>57.72</v>
      </c>
      <c r="N14" t="inlineStr"/>
    </row>
    <row r="15">
      <c r="A15" t="inlineStr">
        <is>
          <t>G017</t>
        </is>
      </c>
      <c r="B15" t="inlineStr">
        <is>
          <t>628-21、628-23</t>
        </is>
      </c>
      <c r="C15" t="n">
        <v>2</v>
      </c>
      <c r="D15" t="n">
        <v>3145.21</v>
      </c>
      <c r="E15" t="n">
        <v>537.96</v>
      </c>
      <c r="F15" t="n">
        <v>287.22</v>
      </c>
      <c r="G15" t="n">
        <v>1848.93</v>
      </c>
      <c r="H15" t="n">
        <v>1848.93</v>
      </c>
      <c r="I15" t="n">
        <v>0</v>
      </c>
      <c r="J15" t="n">
        <v>3145.21</v>
      </c>
      <c r="K15" t="n">
        <v>1848.93</v>
      </c>
      <c r="L15" t="n">
        <v>1848.93</v>
      </c>
      <c r="M15" t="n">
        <v>58.79</v>
      </c>
      <c r="N15" t="inlineStr"/>
    </row>
    <row r="16">
      <c r="A16" t="inlineStr">
        <is>
          <t>G018</t>
        </is>
      </c>
      <c r="B16" t="inlineStr">
        <is>
          <t>628-51</t>
        </is>
      </c>
      <c r="C16" t="n">
        <v>1</v>
      </c>
      <c r="D16" t="n">
        <v>245</v>
      </c>
      <c r="E16" t="n">
        <v>41.91</v>
      </c>
      <c r="F16" t="n">
        <v>22.37</v>
      </c>
      <c r="G16" t="n">
        <v>146.59</v>
      </c>
      <c r="H16" t="n">
        <v>146.59</v>
      </c>
      <c r="I16" t="n">
        <v>0</v>
      </c>
      <c r="J16" t="n">
        <v>245</v>
      </c>
      <c r="K16" t="n">
        <v>146.59</v>
      </c>
      <c r="L16" t="n">
        <v>146.59</v>
      </c>
      <c r="M16" t="n">
        <v>59.83</v>
      </c>
      <c r="N16" t="inlineStr"/>
    </row>
    <row r="17">
      <c r="A17" t="inlineStr">
        <is>
          <t>G019</t>
        </is>
      </c>
      <c r="B17" t="inlineStr">
        <is>
          <t>628-37</t>
        </is>
      </c>
      <c r="C17" t="n">
        <v>1</v>
      </c>
      <c r="D17" t="n">
        <v>350.76</v>
      </c>
      <c r="E17" t="n">
        <v>59.99</v>
      </c>
      <c r="F17" t="n">
        <v>32.03</v>
      </c>
      <c r="G17" t="n">
        <v>216.34</v>
      </c>
      <c r="H17" t="n">
        <v>216.34</v>
      </c>
      <c r="I17" t="n">
        <v>0</v>
      </c>
      <c r="J17" t="n">
        <v>350.76</v>
      </c>
      <c r="K17" t="n">
        <v>216.34</v>
      </c>
      <c r="L17" t="n">
        <v>216.34</v>
      </c>
      <c r="M17" t="n">
        <v>61.68</v>
      </c>
      <c r="N17" t="inlineStr"/>
    </row>
    <row r="18">
      <c r="A18" t="inlineStr">
        <is>
          <t>G020</t>
        </is>
      </c>
      <c r="B18" t="inlineStr">
        <is>
          <t>628-50</t>
        </is>
      </c>
      <c r="C18" t="n">
        <v>1</v>
      </c>
      <c r="D18" t="n">
        <v>246</v>
      </c>
      <c r="E18" t="n">
        <v>42.08</v>
      </c>
      <c r="F18" t="n">
        <v>22.46</v>
      </c>
      <c r="G18" t="n">
        <v>147.18</v>
      </c>
      <c r="H18" t="n">
        <v>147.18</v>
      </c>
      <c r="I18" t="n">
        <v>0</v>
      </c>
      <c r="J18" t="n">
        <v>246</v>
      </c>
      <c r="K18" t="n">
        <v>147.18</v>
      </c>
      <c r="L18" t="n">
        <v>147.18</v>
      </c>
      <c r="M18" t="n">
        <v>59.83</v>
      </c>
      <c r="N18" t="inlineStr"/>
    </row>
    <row r="19">
      <c r="A19" t="inlineStr">
        <is>
          <t>G021</t>
        </is>
      </c>
      <c r="B19" t="inlineStr">
        <is>
          <t>628-35</t>
        </is>
      </c>
      <c r="C19" t="n">
        <v>2</v>
      </c>
      <c r="D19" t="n">
        <v>1137.54</v>
      </c>
      <c r="E19" t="n">
        <v>194.57</v>
      </c>
      <c r="F19" t="n">
        <v>103.88</v>
      </c>
      <c r="G19" t="n">
        <v>671.59</v>
      </c>
      <c r="H19" t="n">
        <v>671.58</v>
      </c>
      <c r="I19" t="n">
        <v>-0.01</v>
      </c>
      <c r="J19" t="n">
        <v>1137.54</v>
      </c>
      <c r="K19" t="n">
        <v>671.59</v>
      </c>
      <c r="L19" t="n">
        <v>671.59</v>
      </c>
      <c r="M19" t="n">
        <v>59.04</v>
      </c>
      <c r="N19" t="inlineStr"/>
    </row>
    <row r="20">
      <c r="A20" t="inlineStr">
        <is>
          <t>G022</t>
        </is>
      </c>
      <c r="B20" t="inlineStr">
        <is>
          <t>628-7</t>
        </is>
      </c>
      <c r="C20" t="n">
        <v>2</v>
      </c>
      <c r="D20" t="n">
        <v>959.66</v>
      </c>
      <c r="E20" t="n">
        <v>164.14</v>
      </c>
      <c r="F20" t="n">
        <v>87.64</v>
      </c>
      <c r="G20" t="n">
        <v>555.48</v>
      </c>
      <c r="H20" t="n">
        <v>555.5</v>
      </c>
      <c r="I20" t="n">
        <v>0.02</v>
      </c>
      <c r="J20" t="n">
        <v>959.66</v>
      </c>
      <c r="K20" t="n">
        <v>555.48</v>
      </c>
      <c r="L20" t="n">
        <v>555.5</v>
      </c>
      <c r="M20" t="n">
        <v>57.89</v>
      </c>
      <c r="N20" t="inlineStr"/>
    </row>
    <row r="21">
      <c r="A21" t="inlineStr">
        <is>
          <t>G023</t>
        </is>
      </c>
      <c r="B21" t="inlineStr">
        <is>
          <t>628-41</t>
        </is>
      </c>
      <c r="C21" t="n">
        <v>1</v>
      </c>
      <c r="D21" t="n">
        <v>319.3</v>
      </c>
      <c r="E21" t="n">
        <v>54.61</v>
      </c>
      <c r="F21" t="n">
        <v>29.16</v>
      </c>
      <c r="G21" t="n">
        <v>176.6</v>
      </c>
      <c r="H21" t="n">
        <v>176.59</v>
      </c>
      <c r="I21" t="n">
        <v>-0.01</v>
      </c>
      <c r="J21" t="n">
        <v>319.3</v>
      </c>
      <c r="K21" t="n">
        <v>176.6</v>
      </c>
      <c r="L21" t="n">
        <v>176.59</v>
      </c>
      <c r="M21" t="n">
        <v>55.31</v>
      </c>
      <c r="N21" t="inlineStr"/>
    </row>
    <row r="22">
      <c r="A22" t="inlineStr">
        <is>
          <t>G025</t>
        </is>
      </c>
      <c r="B22" t="inlineStr">
        <is>
          <t>628-53</t>
        </is>
      </c>
      <c r="C22" t="n">
        <v>1</v>
      </c>
      <c r="D22" t="n">
        <v>0.44</v>
      </c>
      <c r="E22" t="n">
        <v>0.08</v>
      </c>
      <c r="F22" t="n">
        <v>0.04</v>
      </c>
      <c r="G22" t="n">
        <v>0.26</v>
      </c>
      <c r="H22" t="n">
        <v>0.26</v>
      </c>
      <c r="I22" t="n">
        <v>0</v>
      </c>
      <c r="J22" t="n">
        <v>0.44</v>
      </c>
      <c r="K22" t="n">
        <v>0.26</v>
      </c>
      <c r="L22" t="n">
        <v>0.26</v>
      </c>
      <c r="M22" t="n">
        <v>59.09</v>
      </c>
      <c r="N22" t="inlineStr"/>
    </row>
    <row r="23">
      <c r="A23" t="inlineStr">
        <is>
          <t>G026</t>
        </is>
      </c>
      <c r="B23" t="inlineStr">
        <is>
          <t>628-32</t>
        </is>
      </c>
      <c r="C23" t="n">
        <v>3</v>
      </c>
      <c r="D23" t="n">
        <v>1458.64</v>
      </c>
      <c r="E23" t="n">
        <v>249.49</v>
      </c>
      <c r="F23" t="n">
        <v>133.2</v>
      </c>
      <c r="G23" t="n">
        <v>861.5700000000001</v>
      </c>
      <c r="H23" t="n">
        <v>861.5700000000001</v>
      </c>
      <c r="I23" t="n">
        <v>0</v>
      </c>
      <c r="J23" t="n">
        <v>1458.64</v>
      </c>
      <c r="K23" t="n">
        <v>861.5700000000001</v>
      </c>
      <c r="L23" t="n">
        <v>861.5700000000001</v>
      </c>
      <c r="M23" t="n">
        <v>59.07</v>
      </c>
      <c r="N23" t="inlineStr"/>
    </row>
    <row r="24">
      <c r="A24" t="inlineStr">
        <is>
          <t>G027</t>
        </is>
      </c>
      <c r="B24" t="inlineStr">
        <is>
          <t>628-31</t>
        </is>
      </c>
      <c r="C24" t="n">
        <v>3</v>
      </c>
      <c r="D24" t="n">
        <v>1325.55</v>
      </c>
      <c r="E24" t="n">
        <v>226.73</v>
      </c>
      <c r="F24" t="n">
        <v>121.05</v>
      </c>
      <c r="G24" t="n">
        <v>783.17</v>
      </c>
      <c r="H24" t="n">
        <v>783.15</v>
      </c>
      <c r="I24" t="n">
        <v>-0.02</v>
      </c>
      <c r="J24" t="n">
        <v>1325.55</v>
      </c>
      <c r="K24" t="n">
        <v>783.17</v>
      </c>
      <c r="L24" t="n">
        <v>783.15</v>
      </c>
      <c r="M24" t="n">
        <v>59.08</v>
      </c>
      <c r="N24" t="inlineStr"/>
    </row>
    <row r="25">
      <c r="A25" t="inlineStr">
        <is>
          <t>G029</t>
        </is>
      </c>
      <c r="B25" t="inlineStr">
        <is>
          <t>628-36</t>
        </is>
      </c>
      <c r="C25" t="n">
        <v>1</v>
      </c>
      <c r="D25" t="n">
        <v>947.97</v>
      </c>
      <c r="E25" t="n">
        <v>162.14</v>
      </c>
      <c r="F25" t="n">
        <v>86.56999999999999</v>
      </c>
      <c r="G25" t="n">
        <v>575.73</v>
      </c>
      <c r="H25" t="n">
        <v>575.73</v>
      </c>
      <c r="I25" t="n">
        <v>0</v>
      </c>
      <c r="J25" t="n">
        <v>947.97</v>
      </c>
      <c r="K25" t="n">
        <v>575.73</v>
      </c>
      <c r="L25" t="n">
        <v>575.73</v>
      </c>
      <c r="M25" t="n">
        <v>60.73</v>
      </c>
      <c r="N25" t="inlineStr"/>
    </row>
    <row r="26">
      <c r="A26" t="inlineStr">
        <is>
          <t>G030</t>
        </is>
      </c>
      <c r="B26" t="inlineStr">
        <is>
          <t>628-27</t>
        </is>
      </c>
      <c r="C26" t="n">
        <v>2</v>
      </c>
      <c r="D26" t="n">
        <v>98</v>
      </c>
      <c r="E26" t="n">
        <v>16.76</v>
      </c>
      <c r="F26" t="n">
        <v>8.949999999999999</v>
      </c>
      <c r="G26" t="n">
        <v>56.15</v>
      </c>
      <c r="H26" t="n">
        <v>56.15</v>
      </c>
      <c r="I26" t="n">
        <v>0</v>
      </c>
      <c r="J26" t="n">
        <v>98</v>
      </c>
      <c r="K26" t="n">
        <v>56.15</v>
      </c>
      <c r="L26" t="n">
        <v>56.16</v>
      </c>
      <c r="M26" t="n">
        <v>57.31</v>
      </c>
      <c r="N26" t="inlineStr"/>
    </row>
    <row r="27">
      <c r="A27" t="inlineStr">
        <is>
          <t>G032</t>
        </is>
      </c>
      <c r="B27" t="inlineStr">
        <is>
          <t>628-38</t>
        </is>
      </c>
      <c r="C27" t="n">
        <v>1</v>
      </c>
      <c r="D27" t="n">
        <v>205.6</v>
      </c>
      <c r="E27" t="n">
        <v>35.17</v>
      </c>
      <c r="F27" t="n">
        <v>18.78</v>
      </c>
      <c r="G27" t="n">
        <v>117.73</v>
      </c>
      <c r="H27" t="n">
        <v>117.73</v>
      </c>
      <c r="I27" t="n">
        <v>0</v>
      </c>
      <c r="J27" t="n">
        <v>205.6</v>
      </c>
      <c r="K27" t="n">
        <v>117.73</v>
      </c>
      <c r="L27" t="n">
        <v>117.73</v>
      </c>
      <c r="M27" t="n">
        <v>57.26</v>
      </c>
      <c r="N27" t="inlineStr"/>
    </row>
    <row r="28">
      <c r="A28" t="inlineStr">
        <is>
          <t>G033</t>
        </is>
      </c>
      <c r="B28" t="inlineStr">
        <is>
          <t>628-46</t>
        </is>
      </c>
      <c r="C28" t="n">
        <v>1</v>
      </c>
      <c r="D28" t="n">
        <v>124.85</v>
      </c>
      <c r="E28" t="n">
        <v>21.35</v>
      </c>
      <c r="F28" t="n">
        <v>11.4</v>
      </c>
      <c r="G28" t="n">
        <v>72.77</v>
      </c>
      <c r="H28" t="n">
        <v>72.78</v>
      </c>
      <c r="I28" t="n">
        <v>0.01</v>
      </c>
      <c r="J28" t="n">
        <v>124.85</v>
      </c>
      <c r="K28" t="n">
        <v>72.77</v>
      </c>
      <c r="L28" t="n">
        <v>72.78</v>
      </c>
      <c r="M28" t="n">
        <v>58.29</v>
      </c>
      <c r="N28" t="inlineStr"/>
    </row>
  </sheetData>
  <mergeCells count="1">
    <mergeCell ref="A1:N1"/>
  </mergeCell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50" customWidth="1" min="4" max="4"/>
    <col width="14" customWidth="1" min="5" max="5"/>
  </cols>
  <sheetData>
    <row r="1">
      <c r="A1" s="1" t="inlineStr">
        <is>
          <t>計算負擔總計表（市地重劃作業手冊附表 22）</t>
        </is>
      </c>
    </row>
    <row r="3">
      <c r="A3" s="3" t="inlineStr">
        <is>
          <t>項目</t>
        </is>
      </c>
      <c r="B3" s="3" t="inlineStr">
        <is>
          <t>面積/數值</t>
        </is>
      </c>
      <c r="C3" s="3" t="inlineStr">
        <is>
          <t>單位</t>
        </is>
      </c>
      <c r="D3" s="3" t="inlineStr">
        <is>
          <t>說明</t>
        </is>
      </c>
      <c r="E3" s="3" t="inlineStr">
        <is>
          <t>備註</t>
        </is>
      </c>
    </row>
    <row r="4">
      <c r="A4" t="inlineStr">
        <is>
          <t>重劃區實測面積</t>
        </is>
      </c>
      <c r="B4" t="n">
        <v>34949.89901784949</v>
      </c>
      <c r="C4" t="inlineStr">
        <is>
          <t>㎡</t>
        </is>
      </c>
      <c r="D4" t="inlineStr">
        <is>
          <t>街廓總面積（含可建築 + 公設 + 抵充）</t>
        </is>
      </c>
      <c r="E4" t="inlineStr"/>
    </row>
    <row r="5">
      <c r="A5" t="inlineStr">
        <is>
          <t>重劃前平均地價</t>
        </is>
      </c>
      <c r="B5" t="n">
        <v>38498.67842907204</v>
      </c>
      <c r="C5" t="inlineStr">
        <is>
          <t>元/㎡</t>
        </is>
      </c>
      <c r="D5" t="inlineStr">
        <is>
          <t>預期開發分析法 推算</t>
        </is>
      </c>
      <c r="E5" t="inlineStr"/>
    </row>
    <row r="6">
      <c r="A6" t="inlineStr">
        <is>
          <t>重劃後平均地價</t>
        </is>
      </c>
      <c r="B6" t="n">
        <v>72058.60964443642</v>
      </c>
      <c r="C6" t="inlineStr">
        <is>
          <t>元/㎡</t>
        </is>
      </c>
      <c r="D6" t="inlineStr">
        <is>
          <t>土地開發分析法 推算</t>
        </is>
      </c>
      <c r="E6" t="inlineStr"/>
    </row>
    <row r="7">
      <c r="A7" t="inlineStr">
        <is>
          <t>重劃前後地價上漲率</t>
        </is>
      </c>
      <c r="B7" t="n">
        <v>1.8717</v>
      </c>
      <c r="C7" t="inlineStr">
        <is>
          <t>倍</t>
        </is>
      </c>
      <c r="D7">
        <f> 重劃後 ÷ 重劃前</f>
        <v/>
      </c>
      <c r="E7" t="inlineStr"/>
    </row>
    <row r="8">
      <c r="A8" s="5" t="inlineStr">
        <is>
          <t>B 值（一般負擔係數）</t>
        </is>
      </c>
      <c r="B8" s="5" t="n">
        <v>0.171043</v>
      </c>
      <c r="C8" s="5" t="inlineStr">
        <is>
          <t>係數</t>
        </is>
      </c>
      <c r="D8" s="5" t="inlineStr">
        <is>
          <t>一般負擔總面積 × 重劃前地價 / [重劃後地價 ×(總面積 − 抵充地)]</t>
        </is>
      </c>
      <c r="E8" s="5" t="inlineStr">
        <is>
          <t>附件二 ④；已扣除臨街地特別負擔，非「公設用地平均負擔比率」</t>
        </is>
      </c>
    </row>
    <row r="9">
      <c r="A9" s="5" t="inlineStr">
        <is>
          <t>C 值（費用負擔係數）</t>
        </is>
      </c>
      <c r="B9" s="5" t="n">
        <v>0.091319</v>
      </c>
      <c r="C9" s="5" t="inlineStr">
        <is>
          <t>係數</t>
        </is>
      </c>
      <c r="D9" s="5" t="inlineStr">
        <is>
          <t>(工程 + 重劃 + 利息) / [重劃後地價 ×(總面積 − 公設總面積)]</t>
        </is>
      </c>
      <c r="E9" s="5" t="inlineStr">
        <is>
          <t>附件二 ⑤；分母與「費用負擔比率」分母不同</t>
        </is>
      </c>
    </row>
    <row r="10">
      <c r="A10" t="inlineStr">
        <is>
          <t>—— 法定分項負擔比率（地主實際感受）——</t>
        </is>
      </c>
      <c r="B10" t="inlineStr"/>
      <c r="C10" t="inlineStr"/>
      <c r="D10" t="inlineStr"/>
      <c r="E10" t="inlineStr"/>
    </row>
    <row r="11">
      <c r="A11" s="5" t="inlineStr">
        <is>
          <t>公共設施用地平均負擔比率（待輸入）</t>
        </is>
      </c>
      <c r="B11" s="5" t="inlineStr">
        <is>
          <t>需另填</t>
        </is>
      </c>
      <c r="C11" s="5" t="inlineStr">
        <is>
          <t>比率</t>
        </is>
      </c>
      <c r="D11" s="5">
        <f> (共同負擔公設 − 政府已取得公設 − 抵充地) ÷ (重劃區總面積 − 政府已取得公設 − 抵充地)</f>
        <v/>
      </c>
      <c r="E11" s="5" t="inlineStr">
        <is>
          <t>需 財務分析 提供「政府已取得公設」+「抵充地」面積</t>
        </is>
      </c>
    </row>
    <row r="12">
      <c r="A12" s="5" t="inlineStr">
        <is>
          <t>費用負擔比率（待輸入）</t>
        </is>
      </c>
      <c r="B12" s="5" t="inlineStr">
        <is>
          <t>需另填</t>
        </is>
      </c>
      <c r="C12" s="5" t="inlineStr">
        <is>
          <t>比率</t>
        </is>
      </c>
      <c r="D12" s="5">
        <f> (工程 + 重劃 + 利息) ÷ [重劃後地價 ×(總面積 − 政府已取得公設 − 抵充地)]</f>
        <v/>
      </c>
      <c r="E12" s="5" t="inlineStr">
        <is>
          <t>抵費地（R 街廓內）大致對應此項；實務 10-15%</t>
        </is>
      </c>
    </row>
    <row r="13">
      <c r="A13" s="5" t="inlineStr">
        <is>
          <t>地主實際平均負擔比率</t>
        </is>
      </c>
      <c r="B13" s="5" t="inlineStr">
        <is>
          <t>兩項合計</t>
        </is>
      </c>
      <c r="C13" s="5" t="inlineStr">
        <is>
          <t>比率</t>
        </is>
      </c>
      <c r="D13" s="5">
        <f> 公設用地平均負擔比率 + 費用負擔比率（**非 B+C**）</f>
        <v/>
      </c>
      <c r="E13" s="5" t="inlineStr"/>
    </row>
    <row r="14">
      <c r="A14" t="inlineStr">
        <is>
          <t>工程費用總額</t>
        </is>
      </c>
      <c r="B14" t="n">
        <v>0</v>
      </c>
      <c r="C14" t="inlineStr">
        <is>
          <t>元</t>
        </is>
      </c>
      <c r="D14" t="inlineStr">
        <is>
          <t>財務分析 工程費</t>
        </is>
      </c>
      <c r="E14" t="inlineStr"/>
    </row>
    <row r="15">
      <c r="A15" t="inlineStr">
        <is>
          <t>重劃費用總額</t>
        </is>
      </c>
      <c r="B15" t="n">
        <v>0</v>
      </c>
      <c r="C15" t="inlineStr">
        <is>
          <t>元</t>
        </is>
      </c>
      <c r="D15" t="inlineStr">
        <is>
          <t>財務分析 重劃費</t>
        </is>
      </c>
      <c r="E15" t="inlineStr"/>
    </row>
    <row r="16">
      <c r="A16" t="inlineStr">
        <is>
          <t>貸款利息總額</t>
        </is>
      </c>
      <c r="B16" t="n">
        <v>0</v>
      </c>
      <c r="C16" t="inlineStr">
        <is>
          <t>元</t>
        </is>
      </c>
      <c r="D16" t="inlineStr">
        <is>
          <t>財務分析 利息</t>
        </is>
      </c>
      <c r="E16" t="inlineStr"/>
    </row>
    <row r="17">
      <c r="A17" t="inlineStr">
        <is>
          <t>—— 分配結果統計 ——</t>
        </is>
      </c>
      <c r="B17" t="inlineStr"/>
      <c r="C17" t="inlineStr"/>
      <c r="D17" t="inlineStr"/>
      <c r="E17" t="inlineStr"/>
    </row>
    <row r="18">
      <c r="A18" t="inlineStr">
        <is>
          <t>應分配 G 值總計</t>
        </is>
      </c>
      <c r="B18" t="n">
        <v>13465.32</v>
      </c>
      <c r="C18" t="inlineStr">
        <is>
          <t>㎡</t>
        </is>
      </c>
      <c r="D18" t="inlineStr">
        <is>
          <t>合計所有私人 G(㎡)</t>
        </is>
      </c>
      <c r="E18" t="inlineStr"/>
    </row>
    <row r="19">
      <c r="A19" t="inlineStr">
        <is>
          <t>抵費地總面積</t>
        </is>
      </c>
      <c r="B19" t="n">
        <v>9338.01</v>
      </c>
      <c r="C19" t="inlineStr">
        <is>
          <t>㎡</t>
        </is>
      </c>
      <c r="D19" t="inlineStr">
        <is>
          <t>雙向夾擠分配後剩餘空地（含未調配孤立公設地保留額度）</t>
        </is>
      </c>
      <c r="E19" t="inlineStr"/>
    </row>
  </sheetData>
  <mergeCells count="1">
    <mergeCell ref="A1:E1"/>
  </mergeCell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2026-09-22T04:04:04Z</dcterms:created>
  <dcterms:modified xsi:type="dcterms:W3CDTF">2026-09-22T04:04:04Z</dcterms:modified>
</cp:coreProperties>
</file>